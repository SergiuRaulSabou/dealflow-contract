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Elements\Outsourced elements\"/>
    </mc:Choice>
  </mc:AlternateContent>
  <xr:revisionPtr revIDLastSave="0" documentId="8_{75FCCD04-2EC6-4010-8956-12CDC8056AA9}" xr6:coauthVersionLast="47" xr6:coauthVersionMax="47" xr10:uidLastSave="{00000000-0000-0000-0000-000000000000}"/>
  <bookViews>
    <workbookView xWindow="28680" yWindow="-120" windowWidth="29040" windowHeight="15720" xr2:uid="{4F2DFAA2-AE57-410E-BB7A-A25C779B3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D90" i="1"/>
  <c r="D89" i="1"/>
  <c r="D88" i="1"/>
  <c r="D87" i="1"/>
  <c r="D86" i="1"/>
  <c r="D44" i="1"/>
  <c r="D82" i="1" s="1"/>
  <c r="D92" i="1" s="1"/>
  <c r="D66" i="1" l="1"/>
  <c r="D68" i="1" s="1"/>
  <c r="D74" i="1"/>
  <c r="D76" i="1" s="1"/>
  <c r="D93" i="1"/>
  <c r="D94" i="1" s="1"/>
  <c r="D50" i="1"/>
  <c r="D52" i="1" s="1"/>
  <c r="D58" i="1"/>
  <c r="D60" i="1" s="1"/>
</calcChain>
</file>

<file path=xl/sharedStrings.xml><?xml version="1.0" encoding="utf-8"?>
<sst xmlns="http://schemas.openxmlformats.org/spreadsheetml/2006/main" count="112" uniqueCount="77">
  <si>
    <t>DEALSHEET - SALE (PVT TREATY &amp; SEALED BID)</t>
  </si>
  <si>
    <t xml:space="preserve">INV - </t>
  </si>
  <si>
    <r>
      <t>LEAD DEALMAKER</t>
    </r>
    <r>
      <rPr>
        <i/>
        <sz val="11"/>
        <color theme="1"/>
        <rFont val="Arial"/>
        <family val="2"/>
      </rPr>
      <t xml:space="preserve"> (if Finance has any queries)</t>
    </r>
  </si>
  <si>
    <r>
      <t xml:space="preserve">DEAL NAME </t>
    </r>
    <r>
      <rPr>
        <sz val="11"/>
        <color rgb="FFFF0000"/>
        <rFont val="Arial"/>
        <family val="2"/>
      </rPr>
      <t>(must match revenue dashboard)</t>
    </r>
  </si>
  <si>
    <r>
      <t>SELLER DETAILS</t>
    </r>
    <r>
      <rPr>
        <i/>
        <sz val="11"/>
        <color theme="0"/>
        <rFont val="Arial"/>
        <family val="2"/>
      </rPr>
      <t xml:space="preserve"> (Party we need to invoice that will be paying us)</t>
    </r>
  </si>
  <si>
    <r>
      <t xml:space="preserve">LEGAL ENTITY NAME </t>
    </r>
    <r>
      <rPr>
        <i/>
        <sz val="11"/>
        <color theme="1"/>
        <rFont val="Arial"/>
        <family val="2"/>
      </rPr>
      <t>(per sale agreement)</t>
    </r>
  </si>
  <si>
    <t>CONTACT PERSON</t>
  </si>
  <si>
    <r>
      <t xml:space="preserve">TRADING NAME / HQ </t>
    </r>
    <r>
      <rPr>
        <i/>
        <sz val="11"/>
        <color theme="1"/>
        <rFont val="Arial"/>
        <family val="2"/>
      </rPr>
      <t>(if different to Legal Entity)</t>
    </r>
  </si>
  <si>
    <t>CONTACT NO.</t>
  </si>
  <si>
    <t>REGISTRATION NUMBER</t>
  </si>
  <si>
    <t>EMAIL</t>
  </si>
  <si>
    <r>
      <t>VAT NUMBER</t>
    </r>
    <r>
      <rPr>
        <i/>
        <sz val="11"/>
        <color theme="1"/>
        <rFont val="Arial"/>
        <family val="2"/>
      </rPr>
      <t xml:space="preserve"> (If VAT Registered)</t>
    </r>
  </si>
  <si>
    <t xml:space="preserve">Conveyencers Details (to send the invoice to) </t>
  </si>
  <si>
    <t>BILLING ADDRESS</t>
  </si>
  <si>
    <t>Line 1</t>
  </si>
  <si>
    <t>LEGAL FIRM</t>
  </si>
  <si>
    <t>Line 2</t>
  </si>
  <si>
    <t>Line 3</t>
  </si>
  <si>
    <t>Line 4</t>
  </si>
  <si>
    <t>PROPERTY SOURCE</t>
  </si>
  <si>
    <t>PROPERTY LISTING BROKER</t>
  </si>
  <si>
    <r>
      <t xml:space="preserve">PROPERTY REBASE LINK </t>
    </r>
    <r>
      <rPr>
        <i/>
        <sz val="11"/>
        <color theme="1"/>
        <rFont val="Arial"/>
        <family val="2"/>
      </rPr>
      <t xml:space="preserve">(Ops to complete) </t>
    </r>
  </si>
  <si>
    <t>BUYER DETAILS</t>
  </si>
  <si>
    <t>ADDRESS</t>
  </si>
  <si>
    <t>BUYER INDUSTRY</t>
  </si>
  <si>
    <t>BUYER SOURCE</t>
  </si>
  <si>
    <t>Network</t>
  </si>
  <si>
    <t>BUYER LISTING BROKER</t>
  </si>
  <si>
    <r>
      <t xml:space="preserve">BUYER REBASE LINK </t>
    </r>
    <r>
      <rPr>
        <i/>
        <sz val="11"/>
        <color theme="1"/>
        <rFont val="Arial"/>
        <family val="2"/>
      </rPr>
      <t xml:space="preserve">(Ops to complete) </t>
    </r>
  </si>
  <si>
    <t>TRANSACTION DETAILS &amp; CHECKLIST</t>
  </si>
  <si>
    <t>SALE TYPE</t>
  </si>
  <si>
    <t>Sealed Bid</t>
  </si>
  <si>
    <t>DOCUMENT CHECKLIST</t>
  </si>
  <si>
    <r>
      <t xml:space="preserve">PREMISES SOLD / ADDRESS </t>
    </r>
    <r>
      <rPr>
        <i/>
        <sz val="11"/>
        <color theme="1"/>
        <rFont val="Arial"/>
        <family val="2"/>
      </rPr>
      <t>(per sale agreement)</t>
    </r>
  </si>
  <si>
    <t>MANDATE</t>
  </si>
  <si>
    <r>
      <t xml:space="preserve">SALE AGREEMENT </t>
    </r>
    <r>
      <rPr>
        <i/>
        <sz val="11"/>
        <color theme="1"/>
        <rFont val="Arial"/>
        <family val="2"/>
      </rPr>
      <t>(Signed by both parties)</t>
    </r>
  </si>
  <si>
    <t>SUBURB / AREA</t>
  </si>
  <si>
    <r>
      <t xml:space="preserve">SELLER'S FICA </t>
    </r>
    <r>
      <rPr>
        <i/>
        <sz val="11"/>
        <color theme="1"/>
        <rFont val="Arial"/>
        <family val="2"/>
      </rPr>
      <t>(N/A if Listed on the JSE)</t>
    </r>
  </si>
  <si>
    <r>
      <t xml:space="preserve">GLA </t>
    </r>
    <r>
      <rPr>
        <b/>
        <i/>
        <sz val="11"/>
        <color theme="1"/>
        <rFont val="Arial"/>
        <family val="2"/>
      </rPr>
      <t>(m</t>
    </r>
    <r>
      <rPr>
        <b/>
        <i/>
        <vertAlign val="superscript"/>
        <sz val="11"/>
        <color theme="1"/>
        <rFont val="Arial"/>
        <family val="2"/>
      </rPr>
      <t>2</t>
    </r>
    <r>
      <rPr>
        <b/>
        <i/>
        <sz val="11"/>
        <color theme="1"/>
        <rFont val="Arial"/>
        <family val="2"/>
      </rPr>
      <t>)</t>
    </r>
    <r>
      <rPr>
        <b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(per sale agreement)</t>
    </r>
  </si>
  <si>
    <r>
      <t xml:space="preserve">BUYER'S FICA </t>
    </r>
    <r>
      <rPr>
        <i/>
        <sz val="11"/>
        <color theme="1"/>
        <rFont val="Arial"/>
        <family val="2"/>
      </rPr>
      <t>(N/A if Listed on the JSE)</t>
    </r>
  </si>
  <si>
    <r>
      <t xml:space="preserve">PURCHASE PRICE </t>
    </r>
    <r>
      <rPr>
        <i/>
        <sz val="11"/>
        <color theme="1"/>
        <rFont val="Arial"/>
        <family val="2"/>
      </rPr>
      <t>(per sale agreement)</t>
    </r>
  </si>
  <si>
    <t>CLIENT TESTIMONIAL</t>
  </si>
  <si>
    <t>PROPERTY TYPE</t>
  </si>
  <si>
    <t>PROPERTY GRADE</t>
  </si>
  <si>
    <t>A</t>
  </si>
  <si>
    <r>
      <t xml:space="preserve">DEAL UPDATE - </t>
    </r>
    <r>
      <rPr>
        <i/>
        <sz val="11"/>
        <color theme="1"/>
        <rFont val="Arial"/>
        <family val="2"/>
      </rPr>
      <t>Please confirm the following dates to assist Finance</t>
    </r>
  </si>
  <si>
    <t>DUE DILLIGENCE END DATE</t>
  </si>
  <si>
    <r>
      <t>% COMMISSION</t>
    </r>
    <r>
      <rPr>
        <i/>
        <sz val="11"/>
        <color theme="1"/>
        <rFont val="Arial"/>
        <family val="2"/>
      </rPr>
      <t xml:space="preserve"> (per Mandate or Sale Agreement)</t>
    </r>
  </si>
  <si>
    <t xml:space="preserve">DEPOSIT / GUARANTEES PAID / DUE DATE </t>
  </si>
  <si>
    <t>COMMISSION AMOUNT (EX VAT)</t>
  </si>
  <si>
    <t>BROKER 1</t>
  </si>
  <si>
    <r>
      <t xml:space="preserve">BROKER NAME </t>
    </r>
    <r>
      <rPr>
        <i/>
        <sz val="11"/>
        <color theme="1"/>
        <rFont val="Arial"/>
        <family val="2"/>
      </rPr>
      <t>(Name &amp; Surname)</t>
    </r>
  </si>
  <si>
    <t>Broker's Signature</t>
  </si>
  <si>
    <r>
      <t>BROKERS DIVISION</t>
    </r>
    <r>
      <rPr>
        <i/>
        <sz val="11"/>
        <color theme="1"/>
        <rFont val="Arial"/>
        <family val="2"/>
      </rPr>
      <t xml:space="preserve"> (Select from dropdown)</t>
    </r>
  </si>
  <si>
    <t>Select</t>
  </si>
  <si>
    <t>BROKER'S SPLIT OF GROSS DEAL</t>
  </si>
  <si>
    <r>
      <t xml:space="preserve">GROSS BILLING </t>
    </r>
    <r>
      <rPr>
        <i/>
        <sz val="11"/>
        <color theme="1"/>
        <rFont val="Arial"/>
        <family val="2"/>
      </rPr>
      <t>(Formula)</t>
    </r>
  </si>
  <si>
    <t>BROKER'S SPLIT WITH COMPANY</t>
  </si>
  <si>
    <r>
      <t xml:space="preserve">NET COMMISSION (Before Tax) </t>
    </r>
    <r>
      <rPr>
        <i/>
        <sz val="11"/>
        <color theme="1"/>
        <rFont val="Arial"/>
        <family val="2"/>
      </rPr>
      <t>(Formula)</t>
    </r>
  </si>
  <si>
    <t>BROKER 2 (Expand If Applicable)</t>
  </si>
  <si>
    <t>BROKER 3 (Expand If Applicable)</t>
  </si>
  <si>
    <t>BROKER 4 (Expand If Applicable)</t>
  </si>
  <si>
    <t>EXTERNAL (Expand if Applicable)</t>
  </si>
  <si>
    <r>
      <t xml:space="preserve">ENTITY NAME </t>
    </r>
    <r>
      <rPr>
        <i/>
        <sz val="11"/>
        <color theme="1"/>
        <rFont val="Arial"/>
        <family val="2"/>
      </rPr>
      <t>(If applicable)</t>
    </r>
  </si>
  <si>
    <t>CONTACT NAME</t>
  </si>
  <si>
    <t>SPLIT OF GROSS DEAL REVENUE</t>
  </si>
  <si>
    <t>CONTACT EMAIL</t>
  </si>
  <si>
    <t>SUMMARY</t>
  </si>
  <si>
    <t>GCS</t>
  </si>
  <si>
    <t>JHB BROKING</t>
  </si>
  <si>
    <t>CT BROKING</t>
  </si>
  <si>
    <t>JHB AUCTION</t>
  </si>
  <si>
    <t>CT AUCTION</t>
  </si>
  <si>
    <t>SHARED SERVICES</t>
  </si>
  <si>
    <t>EXTERNAL REFERRAL</t>
  </si>
  <si>
    <t>TOTAL</t>
  </si>
  <si>
    <t>CHECK - must be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</si>
</sst>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mm/yyyy"/>
    <numFmt numFmtId="165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1"/>
      <color theme="0" tint="-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222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">
    <xf numFmtId="0" fontId="0" fillId="0" borderId="0" xfId="0"/>
    <xf numFmtId="0" fontId="3" fillId="2" borderId="0" xfId="2" applyFont="1" applyFill="1" applyAlignment="1" applyProtection="1">
      <alignment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4" fillId="2" borderId="0" xfId="2" applyFont="1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2" xfId="2" applyFont="1" applyBorder="1" applyAlignment="1" applyProtection="1">
      <alignment vertical="center"/>
      <protection locked="0"/>
    </xf>
    <xf numFmtId="0" fontId="7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10" fillId="2" borderId="5" xfId="2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Alignment="1" applyProtection="1">
      <alignment horizontal="left" vertical="center"/>
      <protection locked="0"/>
    </xf>
    <xf numFmtId="0" fontId="3" fillId="0" borderId="4" xfId="2" applyFont="1" applyBorder="1" applyAlignment="1" applyProtection="1">
      <alignment vertical="center" wrapText="1"/>
      <protection locked="0"/>
    </xf>
    <xf numFmtId="0" fontId="3" fillId="0" borderId="3" xfId="2" applyFont="1" applyBorder="1" applyAlignment="1" applyProtection="1">
      <alignment vertical="center"/>
      <protection locked="0"/>
    </xf>
    <xf numFmtId="0" fontId="12" fillId="0" borderId="4" xfId="2" applyFont="1" applyBorder="1" applyAlignment="1" applyProtection="1">
      <alignment vertical="center" wrapText="1"/>
      <protection locked="0"/>
    </xf>
    <xf numFmtId="49" fontId="12" fillId="0" borderId="4" xfId="2" quotePrefix="1" applyNumberFormat="1" applyFont="1" applyBorder="1" applyAlignment="1" applyProtection="1">
      <alignment vertical="center"/>
      <protection locked="0"/>
    </xf>
    <xf numFmtId="49" fontId="12" fillId="0" borderId="4" xfId="2" quotePrefix="1" applyNumberFormat="1" applyFont="1" applyBorder="1" applyAlignment="1" applyProtection="1">
      <alignment vertical="center" wrapText="1"/>
      <protection locked="0"/>
    </xf>
    <xf numFmtId="0" fontId="8" fillId="0" borderId="0" xfId="2" applyFont="1" applyProtection="1">
      <protection locked="0"/>
    </xf>
    <xf numFmtId="0" fontId="3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7" fillId="0" borderId="6" xfId="2" applyFont="1" applyBorder="1" applyAlignment="1" applyProtection="1">
      <alignment horizontal="left" vertical="center"/>
      <protection locked="0"/>
    </xf>
    <xf numFmtId="0" fontId="7" fillId="0" borderId="7" xfId="2" applyFont="1" applyBorder="1" applyAlignment="1" applyProtection="1">
      <alignment horizontal="left" vertical="center"/>
      <protection locked="0"/>
    </xf>
    <xf numFmtId="0" fontId="8" fillId="0" borderId="7" xfId="2" applyFont="1" applyBorder="1" applyAlignment="1" applyProtection="1">
      <alignment vertical="center"/>
      <protection locked="0"/>
    </xf>
    <xf numFmtId="0" fontId="12" fillId="0" borderId="4" xfId="2" quotePrefix="1" applyFont="1" applyBorder="1" applyAlignment="1" applyProtection="1">
      <alignment vertical="center" wrapText="1"/>
      <protection locked="0"/>
    </xf>
    <xf numFmtId="0" fontId="7" fillId="0" borderId="5" xfId="2" applyFont="1" applyBorder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8" xfId="2" applyFont="1" applyBorder="1" applyAlignment="1" applyProtection="1">
      <alignment horizontal="left" vertical="center"/>
      <protection locked="0"/>
    </xf>
    <xf numFmtId="0" fontId="7" fillId="0" borderId="9" xfId="2" applyFont="1" applyBorder="1" applyAlignment="1" applyProtection="1">
      <alignment horizontal="left" vertical="center"/>
      <protection locked="0"/>
    </xf>
    <xf numFmtId="0" fontId="8" fillId="0" borderId="9" xfId="2" applyFont="1" applyBorder="1" applyAlignment="1" applyProtection="1">
      <alignment vertical="center"/>
      <protection locked="0"/>
    </xf>
    <xf numFmtId="0" fontId="7" fillId="0" borderId="0" xfId="2" applyFont="1" applyAlignment="1" applyProtection="1">
      <alignment vertical="center"/>
      <protection locked="0"/>
    </xf>
    <xf numFmtId="0" fontId="12" fillId="0" borderId="0" xfId="2" quotePrefix="1" applyFont="1" applyAlignment="1" applyProtection="1">
      <alignment horizontal="center" vertical="center" wrapText="1"/>
      <protection locked="0"/>
    </xf>
    <xf numFmtId="0" fontId="7" fillId="0" borderId="5" xfId="2" applyFont="1" applyBorder="1" applyAlignment="1" applyProtection="1">
      <alignment vertical="center"/>
      <protection locked="0"/>
    </xf>
    <xf numFmtId="49" fontId="12" fillId="0" borderId="0" xfId="2" quotePrefix="1" applyNumberFormat="1" applyFont="1" applyAlignment="1" applyProtection="1">
      <alignment vertical="center" wrapText="1"/>
      <protection locked="0"/>
    </xf>
    <xf numFmtId="0" fontId="3" fillId="0" borderId="4" xfId="2" quotePrefix="1" applyFont="1" applyBorder="1" applyAlignment="1" applyProtection="1">
      <alignment vertical="center" wrapText="1"/>
      <protection locked="0"/>
    </xf>
    <xf numFmtId="49" fontId="12" fillId="0" borderId="4" xfId="2" applyNumberFormat="1" applyFont="1" applyBorder="1" applyAlignment="1" applyProtection="1">
      <alignment vertical="center"/>
      <protection locked="0"/>
    </xf>
    <xf numFmtId="0" fontId="3" fillId="0" borderId="0" xfId="2" applyFont="1" applyAlignment="1">
      <alignment vertical="center"/>
    </xf>
    <xf numFmtId="0" fontId="3" fillId="0" borderId="4" xfId="2" applyFont="1" applyBorder="1" applyAlignment="1" applyProtection="1">
      <alignment horizontal="right" vertical="center"/>
      <protection locked="0"/>
    </xf>
    <xf numFmtId="0" fontId="7" fillId="0" borderId="10" xfId="2" applyFont="1" applyBorder="1" applyAlignment="1" applyProtection="1">
      <alignment horizontal="left" vertical="center"/>
      <protection locked="0"/>
    </xf>
    <xf numFmtId="0" fontId="3" fillId="0" borderId="11" xfId="2" applyFont="1" applyBorder="1" applyAlignment="1" applyProtection="1">
      <alignment horizontal="right" vertical="center" wrapText="1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7" fillId="0" borderId="12" xfId="2" applyFont="1" applyBorder="1" applyAlignment="1" applyProtection="1">
      <alignment horizontal="left" vertical="center"/>
      <protection locked="0"/>
    </xf>
    <xf numFmtId="0" fontId="3" fillId="0" borderId="13" xfId="2" applyFont="1" applyBorder="1" applyAlignment="1" applyProtection="1">
      <alignment horizontal="right" vertical="center" wrapText="1"/>
      <protection locked="0"/>
    </xf>
    <xf numFmtId="3" fontId="3" fillId="0" borderId="4" xfId="2" applyNumberFormat="1" applyFont="1" applyBorder="1" applyAlignment="1" applyProtection="1">
      <alignment horizontal="right" vertical="center"/>
      <protection locked="0"/>
    </xf>
    <xf numFmtId="4" fontId="3" fillId="0" borderId="0" xfId="2" applyNumberFormat="1" applyFont="1" applyAlignment="1" applyProtection="1">
      <alignment vertical="center"/>
      <protection locked="0"/>
    </xf>
    <xf numFmtId="0" fontId="3" fillId="0" borderId="0" xfId="2" applyFont="1" applyAlignment="1">
      <alignment horizontal="left" vertical="center"/>
    </xf>
    <xf numFmtId="43" fontId="3" fillId="0" borderId="4" xfId="1" applyFont="1" applyFill="1" applyBorder="1" applyAlignment="1" applyProtection="1">
      <alignment horizontal="right"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164" fontId="3" fillId="0" borderId="4" xfId="2" applyNumberFormat="1" applyFont="1" applyBorder="1" applyAlignment="1" applyProtection="1">
      <alignment horizontal="left" vertical="center"/>
      <protection locked="0"/>
    </xf>
    <xf numFmtId="9" fontId="3" fillId="0" borderId="4" xfId="3" applyFont="1" applyFill="1" applyBorder="1" applyAlignment="1" applyProtection="1">
      <alignment horizontal="center" vertical="center"/>
      <protection locked="0"/>
    </xf>
    <xf numFmtId="43" fontId="3" fillId="0" borderId="4" xfId="1" applyFont="1" applyFill="1" applyBorder="1" applyAlignment="1" applyProtection="1">
      <alignment horizontal="left" vertical="center"/>
    </xf>
    <xf numFmtId="0" fontId="10" fillId="2" borderId="5" xfId="2" applyFont="1" applyFill="1" applyBorder="1" applyAlignment="1" applyProtection="1">
      <alignment vertical="center"/>
      <protection locked="0"/>
    </xf>
    <xf numFmtId="0" fontId="10" fillId="2" borderId="0" xfId="2" applyFont="1" applyFill="1" applyAlignment="1" applyProtection="1">
      <alignment vertical="center"/>
      <protection locked="0"/>
    </xf>
    <xf numFmtId="0" fontId="10" fillId="2" borderId="0" xfId="2" applyFont="1" applyFill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vertical="center"/>
      <protection locked="0"/>
    </xf>
    <xf numFmtId="0" fontId="3" fillId="0" borderId="7" xfId="2" applyFont="1" applyBorder="1" applyAlignment="1" applyProtection="1">
      <alignment vertical="center"/>
      <protection locked="0"/>
    </xf>
    <xf numFmtId="3" fontId="3" fillId="0" borderId="4" xfId="2" applyNumberFormat="1" applyFont="1" applyBorder="1" applyAlignment="1" applyProtection="1">
      <alignment horizontal="left" vertical="center"/>
      <protection locked="0"/>
    </xf>
    <xf numFmtId="3" fontId="15" fillId="0" borderId="6" xfId="2" applyNumberFormat="1" applyFont="1" applyBorder="1" applyAlignment="1" applyProtection="1">
      <alignment horizontal="center" vertical="center" wrapText="1"/>
      <protection locked="0"/>
    </xf>
    <xf numFmtId="3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3" fillId="0" borderId="5" xfId="2" applyFont="1" applyBorder="1" applyAlignment="1" applyProtection="1">
      <alignment vertical="center"/>
      <protection locked="0"/>
    </xf>
    <xf numFmtId="3" fontId="15" fillId="0" borderId="5" xfId="2" applyNumberFormat="1" applyFont="1" applyBorder="1" applyAlignment="1" applyProtection="1">
      <alignment horizontal="center" vertical="center" wrapText="1"/>
      <protection locked="0"/>
    </xf>
    <xf numFmtId="3" fontId="15" fillId="0" borderId="14" xfId="2" applyNumberFormat="1" applyFont="1" applyBorder="1" applyAlignment="1" applyProtection="1">
      <alignment horizontal="center" vertical="center" wrapText="1"/>
      <protection locked="0"/>
    </xf>
    <xf numFmtId="0" fontId="3" fillId="0" borderId="14" xfId="2" applyFont="1" applyBorder="1" applyAlignment="1" applyProtection="1">
      <alignment vertical="center"/>
      <protection locked="0"/>
    </xf>
    <xf numFmtId="165" fontId="3" fillId="0" borderId="13" xfId="4" applyFont="1" applyFill="1" applyBorder="1" applyAlignment="1" applyProtection="1">
      <alignment vertical="center"/>
    </xf>
    <xf numFmtId="0" fontId="3" fillId="0" borderId="8" xfId="2" applyFont="1" applyBorder="1" applyAlignment="1" applyProtection="1">
      <alignment vertical="center"/>
      <protection locked="0"/>
    </xf>
    <xf numFmtId="0" fontId="3" fillId="0" borderId="9" xfId="2" applyFont="1" applyBorder="1" applyAlignment="1" applyProtection="1">
      <alignment vertical="center"/>
      <protection locked="0"/>
    </xf>
    <xf numFmtId="0" fontId="3" fillId="0" borderId="12" xfId="2" applyFont="1" applyBorder="1" applyAlignment="1" applyProtection="1">
      <alignment vertical="center"/>
      <protection locked="0"/>
    </xf>
    <xf numFmtId="165" fontId="3" fillId="0" borderId="4" xfId="4" applyFont="1" applyFill="1" applyBorder="1" applyAlignment="1" applyProtection="1">
      <alignment vertical="center"/>
    </xf>
    <xf numFmtId="3" fontId="15" fillId="0" borderId="8" xfId="2" applyNumberFormat="1" applyFont="1" applyBorder="1" applyAlignment="1" applyProtection="1">
      <alignment horizontal="center" vertical="center" wrapText="1"/>
      <protection locked="0"/>
    </xf>
    <xf numFmtId="3" fontId="15" fillId="0" borderId="12" xfId="2" applyNumberFormat="1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43" fontId="3" fillId="0" borderId="4" xfId="1" applyFont="1" applyFill="1" applyBorder="1" applyAlignment="1" applyProtection="1">
      <alignment horizontal="left"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horizontal="left" vertical="center"/>
      <protection locked="0"/>
    </xf>
    <xf numFmtId="0" fontId="7" fillId="0" borderId="2" xfId="2" applyFont="1" applyBorder="1" applyAlignment="1" applyProtection="1">
      <alignment horizontal="left" vertical="center"/>
      <protection locked="0"/>
    </xf>
    <xf numFmtId="0" fontId="7" fillId="0" borderId="3" xfId="2" applyFont="1" applyBorder="1" applyAlignment="1" applyProtection="1">
      <alignment horizontal="left" vertical="center"/>
      <protection locked="0"/>
    </xf>
    <xf numFmtId="43" fontId="7" fillId="0" borderId="4" xfId="1" applyFont="1" applyFill="1" applyBorder="1" applyAlignment="1" applyProtection="1">
      <alignment horizontal="left" vertical="center"/>
    </xf>
    <xf numFmtId="43" fontId="3" fillId="0" borderId="0" xfId="1" applyFont="1" applyFill="1" applyBorder="1" applyAlignment="1" applyProtection="1">
      <alignment vertical="center"/>
    </xf>
    <xf numFmtId="3" fontId="15" fillId="0" borderId="0" xfId="2" applyNumberFormat="1" applyFont="1" applyAlignment="1" applyProtection="1">
      <alignment vertical="center" wrapText="1"/>
      <protection locked="0"/>
    </xf>
  </cellXfs>
  <cellStyles count="5">
    <cellStyle name="Comma" xfId="1" builtinId="3"/>
    <cellStyle name="Comma 2" xfId="4" xr:uid="{272133E6-3AB8-43D1-8AE9-E505E1A6BC2E}"/>
    <cellStyle name="Normal" xfId="0" builtinId="0"/>
    <cellStyle name="Normal 2" xfId="2" xr:uid="{73FB090E-8015-4ACC-B9B9-70DF5874379E}"/>
    <cellStyle name="Percent 2" xfId="3" xr:uid="{7068B596-89B6-49DC-B7E9-2ACCBACCBE1D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72B4-91A3-4BA4-B396-9F8EC15B785C}">
  <dimension ref="A1:K97"/>
  <sheetViews>
    <sheetView tabSelected="1" workbookViewId="0">
      <selection activeCell="A3" sqref="A3"/>
    </sheetView>
  </sheetViews>
  <sheetFormatPr defaultColWidth="12" defaultRowHeight="15.75" customHeight="1" outlineLevelRow="1" x14ac:dyDescent="0.3"/>
  <cols>
    <col min="1" max="1" width="5.44140625" style="2" customWidth="1"/>
    <col min="2" max="2" width="33.109375" style="2" customWidth="1"/>
    <col min="3" max="3" width="18" style="2" customWidth="1"/>
    <col min="4" max="4" width="32.44140625" style="2" customWidth="1"/>
    <col min="5" max="5" width="5.6640625" style="2" customWidth="1"/>
    <col min="6" max="6" width="8.44140625" style="2" customWidth="1"/>
    <col min="7" max="7" width="24.33203125" style="2" customWidth="1"/>
    <col min="8" max="8" width="15.33203125" style="2" customWidth="1"/>
    <col min="9" max="9" width="31.6640625" style="2" customWidth="1"/>
    <col min="10" max="10" width="2.6640625" style="2" customWidth="1"/>
    <col min="11" max="16384" width="12" style="2"/>
  </cols>
  <sheetData>
    <row r="1" spans="1:11" ht="12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25.5" customHeight="1" x14ac:dyDescent="0.3">
      <c r="A2" s="3" t="s">
        <v>0</v>
      </c>
      <c r="B2" s="3"/>
      <c r="C2" s="1"/>
      <c r="D2" s="4"/>
      <c r="E2" s="4"/>
      <c r="F2" s="5" t="s">
        <v>1</v>
      </c>
      <c r="H2" s="1"/>
      <c r="I2" s="1"/>
    </row>
    <row r="3" spans="1:11" ht="12.7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ht="18.75" customHeight="1" x14ac:dyDescent="0.3"/>
    <row r="5" spans="1:11" ht="18.75" customHeight="1" x14ac:dyDescent="0.3">
      <c r="A5" s="6" t="s">
        <v>2</v>
      </c>
      <c r="B5" s="7"/>
      <c r="C5" s="8"/>
      <c r="D5" s="9"/>
      <c r="F5" s="6" t="s">
        <v>3</v>
      </c>
      <c r="G5" s="7"/>
      <c r="H5" s="8"/>
      <c r="I5" s="9"/>
    </row>
    <row r="6" spans="1:11" ht="18.75" customHeight="1" x14ac:dyDescent="0.3"/>
    <row r="7" spans="1:11" ht="18.75" customHeight="1" x14ac:dyDescent="0.3">
      <c r="A7" s="10" t="s">
        <v>4</v>
      </c>
      <c r="B7" s="11"/>
      <c r="C7" s="11"/>
      <c r="D7" s="11"/>
      <c r="E7" s="11"/>
      <c r="F7" s="11"/>
      <c r="G7" s="11"/>
      <c r="H7" s="11"/>
      <c r="I7" s="11"/>
    </row>
    <row r="8" spans="1:11" ht="18.75" customHeight="1" x14ac:dyDescent="0.3">
      <c r="A8" s="6" t="s">
        <v>5</v>
      </c>
      <c r="B8" s="7"/>
      <c r="C8" s="8"/>
      <c r="D8" s="12"/>
      <c r="F8" s="6" t="s">
        <v>6</v>
      </c>
      <c r="G8" s="7"/>
      <c r="H8" s="13"/>
      <c r="I8" s="14"/>
    </row>
    <row r="9" spans="1:11" ht="18.75" customHeight="1" x14ac:dyDescent="0.3">
      <c r="A9" s="6" t="s">
        <v>7</v>
      </c>
      <c r="B9" s="7"/>
      <c r="C9" s="8"/>
      <c r="D9" s="12"/>
      <c r="F9" s="6" t="s">
        <v>8</v>
      </c>
      <c r="G9" s="7"/>
      <c r="H9" s="13"/>
      <c r="I9" s="14"/>
    </row>
    <row r="10" spans="1:11" ht="18.75" customHeight="1" x14ac:dyDescent="0.3">
      <c r="A10" s="6" t="s">
        <v>9</v>
      </c>
      <c r="B10" s="7"/>
      <c r="C10" s="8"/>
      <c r="D10" s="15"/>
      <c r="F10" s="6" t="s">
        <v>10</v>
      </c>
      <c r="G10" s="7"/>
      <c r="H10" s="13"/>
      <c r="I10" s="16"/>
    </row>
    <row r="11" spans="1:11" ht="18.75" customHeight="1" x14ac:dyDescent="0.3">
      <c r="A11" s="6" t="s">
        <v>11</v>
      </c>
      <c r="B11" s="7"/>
      <c r="C11" s="8"/>
      <c r="D11" s="15"/>
      <c r="F11" s="17" t="s">
        <v>12</v>
      </c>
      <c r="G11" s="18"/>
      <c r="H11" s="18"/>
      <c r="K11" s="19"/>
    </row>
    <row r="12" spans="1:11" ht="14.4" x14ac:dyDescent="0.3">
      <c r="A12" s="20" t="s">
        <v>13</v>
      </c>
      <c r="B12" s="21"/>
      <c r="C12" s="22" t="s">
        <v>14</v>
      </c>
      <c r="D12" s="23"/>
      <c r="F12" s="6" t="s">
        <v>15</v>
      </c>
      <c r="G12" s="7"/>
      <c r="H12" s="13"/>
      <c r="I12" s="14"/>
    </row>
    <row r="13" spans="1:11" ht="14.4" x14ac:dyDescent="0.3">
      <c r="A13" s="24"/>
      <c r="B13" s="25"/>
      <c r="C13" s="19" t="s">
        <v>16</v>
      </c>
      <c r="D13" s="23"/>
      <c r="F13" s="6" t="s">
        <v>6</v>
      </c>
      <c r="G13" s="7"/>
      <c r="H13" s="13"/>
      <c r="I13" s="14"/>
    </row>
    <row r="14" spans="1:11" ht="14.4" x14ac:dyDescent="0.3">
      <c r="A14" s="24"/>
      <c r="B14" s="25"/>
      <c r="C14" s="19" t="s">
        <v>17</v>
      </c>
      <c r="D14" s="23"/>
      <c r="F14" s="6" t="s">
        <v>8</v>
      </c>
      <c r="G14" s="7"/>
      <c r="H14" s="13"/>
      <c r="I14" s="14"/>
    </row>
    <row r="15" spans="1:11" ht="14.4" x14ac:dyDescent="0.3">
      <c r="A15" s="26"/>
      <c r="B15" s="27"/>
      <c r="C15" s="28" t="s">
        <v>18</v>
      </c>
      <c r="D15" s="23"/>
      <c r="F15" s="6" t="s">
        <v>10</v>
      </c>
      <c r="G15" s="7"/>
      <c r="H15" s="13"/>
      <c r="I15" s="16"/>
    </row>
    <row r="16" spans="1:11" ht="18.75" customHeight="1" x14ac:dyDescent="0.3">
      <c r="A16" s="29"/>
      <c r="B16" s="29"/>
      <c r="C16" s="29"/>
      <c r="D16" s="30"/>
    </row>
    <row r="17" spans="1:9" ht="18.75" customHeight="1" x14ac:dyDescent="0.3">
      <c r="A17" s="6" t="s">
        <v>19</v>
      </c>
      <c r="B17" s="7"/>
      <c r="C17" s="13"/>
      <c r="D17" s="9"/>
    </row>
    <row r="18" spans="1:9" ht="18.75" customHeight="1" x14ac:dyDescent="0.3">
      <c r="A18" s="6" t="s">
        <v>20</v>
      </c>
      <c r="B18" s="7"/>
      <c r="C18" s="13"/>
      <c r="D18" s="16"/>
    </row>
    <row r="19" spans="1:9" ht="18.75" customHeight="1" x14ac:dyDescent="0.3">
      <c r="A19" s="6" t="s">
        <v>21</v>
      </c>
      <c r="B19" s="7"/>
      <c r="C19" s="13"/>
      <c r="D19" s="16"/>
    </row>
    <row r="20" spans="1:9" ht="18.75" customHeight="1" x14ac:dyDescent="0.3">
      <c r="A20" s="31"/>
      <c r="B20" s="29"/>
      <c r="D20" s="32"/>
      <c r="F20" s="29"/>
      <c r="G20" s="29"/>
      <c r="H20" s="29"/>
      <c r="I20" s="30"/>
    </row>
    <row r="21" spans="1:9" ht="18.75" customHeight="1" x14ac:dyDescent="0.3">
      <c r="A21" s="10" t="s">
        <v>22</v>
      </c>
      <c r="B21" s="11"/>
      <c r="C21" s="11"/>
      <c r="D21" s="11"/>
      <c r="E21" s="11"/>
      <c r="F21" s="11"/>
      <c r="G21" s="11"/>
      <c r="H21" s="11"/>
      <c r="I21" s="11"/>
    </row>
    <row r="22" spans="1:9" ht="18.75" customHeight="1" x14ac:dyDescent="0.3">
      <c r="A22" s="6" t="s">
        <v>5</v>
      </c>
      <c r="B22" s="7"/>
      <c r="C22" s="8"/>
      <c r="D22" s="33"/>
      <c r="F22" s="6" t="s">
        <v>6</v>
      </c>
      <c r="G22" s="7"/>
      <c r="H22" s="13"/>
      <c r="I22" s="14"/>
    </row>
    <row r="23" spans="1:9" ht="18.75" customHeight="1" x14ac:dyDescent="0.3">
      <c r="A23" s="6" t="s">
        <v>7</v>
      </c>
      <c r="B23" s="7"/>
      <c r="C23" s="8"/>
      <c r="D23" s="33"/>
      <c r="F23" s="6" t="s">
        <v>8</v>
      </c>
      <c r="G23" s="7"/>
      <c r="H23" s="13"/>
      <c r="I23" s="14"/>
    </row>
    <row r="24" spans="1:9" ht="18.75" customHeight="1" x14ac:dyDescent="0.3">
      <c r="A24" s="6" t="s">
        <v>9</v>
      </c>
      <c r="B24" s="7"/>
      <c r="C24" s="8"/>
      <c r="D24" s="34"/>
      <c r="F24" s="6" t="s">
        <v>10</v>
      </c>
      <c r="G24" s="7"/>
      <c r="H24" s="13"/>
      <c r="I24" s="16"/>
    </row>
    <row r="25" spans="1:9" ht="18.75" customHeight="1" x14ac:dyDescent="0.3">
      <c r="A25" s="6" t="s">
        <v>11</v>
      </c>
      <c r="B25" s="7"/>
      <c r="C25" s="8"/>
      <c r="D25" s="15"/>
    </row>
    <row r="26" spans="1:9" ht="18.75" customHeight="1" x14ac:dyDescent="0.3">
      <c r="A26" s="6" t="s">
        <v>23</v>
      </c>
      <c r="B26" s="7"/>
      <c r="C26" s="8"/>
      <c r="D26" s="15"/>
    </row>
    <row r="27" spans="1:9" ht="18.75" customHeight="1" x14ac:dyDescent="0.3">
      <c r="A27" s="6" t="s">
        <v>24</v>
      </c>
      <c r="B27" s="7"/>
      <c r="C27" s="8"/>
      <c r="D27" s="15"/>
    </row>
    <row r="28" spans="1:9" ht="18.75" customHeight="1" x14ac:dyDescent="0.3"/>
    <row r="29" spans="1:9" ht="18.75" customHeight="1" x14ac:dyDescent="0.3">
      <c r="A29" s="6" t="s">
        <v>25</v>
      </c>
      <c r="B29" s="7"/>
      <c r="C29" s="13"/>
      <c r="D29" s="9" t="s">
        <v>26</v>
      </c>
    </row>
    <row r="30" spans="1:9" ht="18.75" customHeight="1" x14ac:dyDescent="0.3">
      <c r="A30" s="6" t="s">
        <v>27</v>
      </c>
      <c r="B30" s="7"/>
      <c r="C30" s="13"/>
      <c r="D30" s="16"/>
      <c r="F30" s="35"/>
    </row>
    <row r="31" spans="1:9" ht="18.75" customHeight="1" x14ac:dyDescent="0.3">
      <c r="A31" s="6" t="s">
        <v>28</v>
      </c>
      <c r="B31" s="7"/>
      <c r="C31" s="13"/>
      <c r="D31" s="16"/>
      <c r="F31" s="35"/>
    </row>
    <row r="32" spans="1:9" ht="18.75" customHeight="1" x14ac:dyDescent="0.3">
      <c r="A32" s="31"/>
      <c r="B32" s="29"/>
      <c r="D32" s="32"/>
      <c r="F32" s="35"/>
    </row>
    <row r="33" spans="1:9" ht="18.75" customHeight="1" x14ac:dyDescent="0.3">
      <c r="A33" s="10" t="s">
        <v>29</v>
      </c>
      <c r="B33" s="11"/>
      <c r="C33" s="11"/>
      <c r="D33" s="11"/>
      <c r="E33" s="11"/>
      <c r="F33" s="11"/>
      <c r="G33" s="11"/>
      <c r="H33" s="11"/>
      <c r="I33" s="11"/>
    </row>
    <row r="34" spans="1:9" ht="18.75" customHeight="1" x14ac:dyDescent="0.3">
      <c r="A34" s="6" t="s">
        <v>30</v>
      </c>
      <c r="B34" s="7"/>
      <c r="C34" s="8"/>
      <c r="D34" s="36" t="s">
        <v>31</v>
      </c>
      <c r="F34" s="29" t="s">
        <v>32</v>
      </c>
    </row>
    <row r="35" spans="1:9" ht="18.75" customHeight="1" x14ac:dyDescent="0.3">
      <c r="A35" s="20" t="s">
        <v>33</v>
      </c>
      <c r="B35" s="21"/>
      <c r="C35" s="37"/>
      <c r="D35" s="38"/>
      <c r="F35" s="35" t="s">
        <v>34</v>
      </c>
      <c r="I35" s="39"/>
    </row>
    <row r="36" spans="1:9" ht="18.75" customHeight="1" x14ac:dyDescent="0.3">
      <c r="A36" s="26"/>
      <c r="B36" s="27"/>
      <c r="C36" s="40"/>
      <c r="D36" s="41"/>
      <c r="F36" s="35" t="s">
        <v>35</v>
      </c>
      <c r="H36" s="35"/>
      <c r="I36" s="39"/>
    </row>
    <row r="37" spans="1:9" ht="18.75" customHeight="1" x14ac:dyDescent="0.3">
      <c r="A37" s="7" t="s">
        <v>36</v>
      </c>
      <c r="B37" s="7"/>
      <c r="C37" s="13"/>
      <c r="D37" s="42"/>
      <c r="E37" s="43"/>
      <c r="F37" s="35" t="s">
        <v>37</v>
      </c>
      <c r="H37" s="35"/>
      <c r="I37" s="39"/>
    </row>
    <row r="38" spans="1:9" ht="18.75" customHeight="1" x14ac:dyDescent="0.3">
      <c r="A38" s="6" t="s">
        <v>38</v>
      </c>
      <c r="B38" s="7"/>
      <c r="C38" s="8"/>
      <c r="D38" s="42"/>
      <c r="E38" s="43"/>
      <c r="F38" s="44" t="s">
        <v>39</v>
      </c>
      <c r="H38" s="35"/>
      <c r="I38" s="39"/>
    </row>
    <row r="39" spans="1:9" ht="18.75" customHeight="1" x14ac:dyDescent="0.3">
      <c r="A39" s="6" t="s">
        <v>40</v>
      </c>
      <c r="B39" s="7"/>
      <c r="C39" s="8"/>
      <c r="D39" s="45">
        <v>100000000</v>
      </c>
      <c r="E39" s="43"/>
      <c r="F39" s="35" t="s">
        <v>41</v>
      </c>
      <c r="H39" s="35"/>
      <c r="I39" s="39"/>
    </row>
    <row r="40" spans="1:9" ht="18.75" customHeight="1" x14ac:dyDescent="0.3">
      <c r="A40" s="6" t="s">
        <v>42</v>
      </c>
      <c r="B40" s="46"/>
      <c r="C40" s="13"/>
      <c r="D40" s="36"/>
      <c r="E40" s="43"/>
    </row>
    <row r="41" spans="1:9" ht="18.75" customHeight="1" x14ac:dyDescent="0.3">
      <c r="A41" s="6" t="s">
        <v>43</v>
      </c>
      <c r="B41" s="7"/>
      <c r="C41" s="13"/>
      <c r="D41" s="36" t="s">
        <v>44</v>
      </c>
      <c r="E41" s="35"/>
      <c r="F41" s="29" t="s">
        <v>45</v>
      </c>
      <c r="H41" s="35"/>
    </row>
    <row r="42" spans="1:9" ht="18.75" customHeight="1" x14ac:dyDescent="0.3">
      <c r="E42" s="35"/>
      <c r="F42" s="44" t="s">
        <v>46</v>
      </c>
      <c r="H42" s="35"/>
      <c r="I42" s="47"/>
    </row>
    <row r="43" spans="1:9" ht="18.75" customHeight="1" x14ac:dyDescent="0.3">
      <c r="A43" s="6" t="s">
        <v>47</v>
      </c>
      <c r="B43" s="46"/>
      <c r="C43" s="13"/>
      <c r="D43" s="48">
        <v>0.1</v>
      </c>
      <c r="E43" s="35"/>
      <c r="F43" s="44" t="s">
        <v>48</v>
      </c>
      <c r="H43" s="35"/>
      <c r="I43" s="47"/>
    </row>
    <row r="44" spans="1:9" ht="18.75" customHeight="1" x14ac:dyDescent="0.3">
      <c r="A44" s="6" t="s">
        <v>49</v>
      </c>
      <c r="B44" s="7"/>
      <c r="C44" s="8"/>
      <c r="D44" s="49">
        <f>D39*D43</f>
        <v>10000000</v>
      </c>
      <c r="E44" s="44"/>
    </row>
    <row r="45" spans="1:9" ht="18.75" customHeight="1" x14ac:dyDescent="0.3">
      <c r="E45" s="35"/>
    </row>
    <row r="46" spans="1:9" ht="18.75" customHeight="1" x14ac:dyDescent="0.3">
      <c r="A46" s="50" t="s">
        <v>50</v>
      </c>
      <c r="B46" s="51"/>
      <c r="C46" s="52"/>
      <c r="D46" s="51"/>
      <c r="E46" s="51"/>
      <c r="F46" s="51"/>
    </row>
    <row r="47" spans="1:9" ht="17.25" customHeight="1" x14ac:dyDescent="0.3">
      <c r="A47" s="53" t="s">
        <v>51</v>
      </c>
      <c r="B47" s="54"/>
      <c r="C47" s="54"/>
      <c r="D47" s="55"/>
      <c r="E47" s="56" t="s">
        <v>52</v>
      </c>
      <c r="F47" s="57"/>
    </row>
    <row r="48" spans="1:9" ht="17.25" customHeight="1" x14ac:dyDescent="0.3">
      <c r="A48" s="58" t="s">
        <v>53</v>
      </c>
      <c r="D48" s="55" t="s">
        <v>54</v>
      </c>
      <c r="E48" s="59"/>
      <c r="F48" s="60"/>
    </row>
    <row r="49" spans="1:6" ht="17.25" customHeight="1" x14ac:dyDescent="0.3">
      <c r="A49" s="58" t="s">
        <v>55</v>
      </c>
      <c r="D49" s="48">
        <v>0.4</v>
      </c>
      <c r="E49" s="59"/>
      <c r="F49" s="60"/>
    </row>
    <row r="50" spans="1:6" ht="17.25" customHeight="1" x14ac:dyDescent="0.3">
      <c r="A50" s="58" t="s">
        <v>56</v>
      </c>
      <c r="C50" s="61"/>
      <c r="D50" s="62">
        <f>$D$44*D49</f>
        <v>4000000</v>
      </c>
      <c r="E50" s="59"/>
      <c r="F50" s="60"/>
    </row>
    <row r="51" spans="1:6" ht="17.25" customHeight="1" x14ac:dyDescent="0.3">
      <c r="A51" s="58" t="s">
        <v>57</v>
      </c>
      <c r="C51" s="61"/>
      <c r="D51" s="48">
        <v>0</v>
      </c>
      <c r="E51" s="59"/>
      <c r="F51" s="60"/>
    </row>
    <row r="52" spans="1:6" ht="17.25" customHeight="1" x14ac:dyDescent="0.3">
      <c r="A52" s="63" t="s">
        <v>58</v>
      </c>
      <c r="B52" s="64"/>
      <c r="C52" s="65"/>
      <c r="D52" s="66">
        <f>D50*D51</f>
        <v>0</v>
      </c>
      <c r="E52" s="67"/>
      <c r="F52" s="68"/>
    </row>
    <row r="53" spans="1:6" ht="18.75" customHeight="1" x14ac:dyDescent="0.3">
      <c r="D53" s="35"/>
      <c r="E53" s="35"/>
    </row>
    <row r="54" spans="1:6" ht="18.75" customHeight="1" x14ac:dyDescent="0.3">
      <c r="A54" s="50" t="s">
        <v>59</v>
      </c>
      <c r="B54" s="51"/>
      <c r="C54" s="52"/>
      <c r="D54" s="51"/>
      <c r="E54" s="51"/>
      <c r="F54" s="51"/>
    </row>
    <row r="55" spans="1:6" ht="17.25" customHeight="1" outlineLevel="1" x14ac:dyDescent="0.3">
      <c r="A55" s="53" t="s">
        <v>51</v>
      </c>
      <c r="B55" s="54"/>
      <c r="C55" s="54"/>
      <c r="D55" s="55"/>
      <c r="E55" s="56" t="s">
        <v>52</v>
      </c>
      <c r="F55" s="57"/>
    </row>
    <row r="56" spans="1:6" ht="17.25" customHeight="1" outlineLevel="1" x14ac:dyDescent="0.3">
      <c r="A56" s="58" t="s">
        <v>53</v>
      </c>
      <c r="D56" s="55" t="s">
        <v>54</v>
      </c>
      <c r="E56" s="59"/>
      <c r="F56" s="60"/>
    </row>
    <row r="57" spans="1:6" ht="17.25" customHeight="1" outlineLevel="1" x14ac:dyDescent="0.3">
      <c r="A57" s="58" t="s">
        <v>55</v>
      </c>
      <c r="D57" s="48">
        <v>0.5</v>
      </c>
      <c r="E57" s="59"/>
      <c r="F57" s="60"/>
    </row>
    <row r="58" spans="1:6" ht="17.25" customHeight="1" outlineLevel="1" x14ac:dyDescent="0.3">
      <c r="A58" s="58" t="s">
        <v>56</v>
      </c>
      <c r="C58" s="61"/>
      <c r="D58" s="62">
        <f>$D$44*D57</f>
        <v>5000000</v>
      </c>
      <c r="E58" s="59"/>
      <c r="F58" s="60"/>
    </row>
    <row r="59" spans="1:6" ht="17.25" customHeight="1" outlineLevel="1" x14ac:dyDescent="0.3">
      <c r="A59" s="58" t="s">
        <v>57</v>
      </c>
      <c r="C59" s="61"/>
      <c r="D59" s="48">
        <v>0</v>
      </c>
      <c r="E59" s="59"/>
      <c r="F59" s="60"/>
    </row>
    <row r="60" spans="1:6" ht="17.25" customHeight="1" outlineLevel="1" x14ac:dyDescent="0.3">
      <c r="A60" s="63" t="s">
        <v>58</v>
      </c>
      <c r="B60" s="64"/>
      <c r="C60" s="65"/>
      <c r="D60" s="66">
        <f>D58*D59</f>
        <v>0</v>
      </c>
      <c r="E60" s="67"/>
      <c r="F60" s="68"/>
    </row>
    <row r="61" spans="1:6" ht="18.75" customHeight="1" x14ac:dyDescent="0.3">
      <c r="D61" s="35"/>
      <c r="E61" s="35"/>
      <c r="F61" s="35"/>
    </row>
    <row r="62" spans="1:6" ht="18.75" customHeight="1" x14ac:dyDescent="0.3">
      <c r="A62" s="50" t="s">
        <v>60</v>
      </c>
      <c r="B62" s="51"/>
      <c r="C62" s="52"/>
      <c r="D62" s="51"/>
      <c r="E62" s="51"/>
      <c r="F62" s="51"/>
    </row>
    <row r="63" spans="1:6" ht="17.25" customHeight="1" outlineLevel="1" x14ac:dyDescent="0.3">
      <c r="A63" s="53" t="s">
        <v>51</v>
      </c>
      <c r="B63" s="54"/>
      <c r="C63" s="54"/>
      <c r="D63" s="55"/>
      <c r="E63" s="56" t="s">
        <v>52</v>
      </c>
      <c r="F63" s="57"/>
    </row>
    <row r="64" spans="1:6" ht="17.25" customHeight="1" outlineLevel="1" x14ac:dyDescent="0.3">
      <c r="A64" s="58" t="s">
        <v>53</v>
      </c>
      <c r="D64" s="55" t="s">
        <v>54</v>
      </c>
      <c r="E64" s="59"/>
      <c r="F64" s="60"/>
    </row>
    <row r="65" spans="1:6" ht="17.25" customHeight="1" outlineLevel="1" x14ac:dyDescent="0.3">
      <c r="A65" s="58" t="s">
        <v>55</v>
      </c>
      <c r="D65" s="48">
        <v>0</v>
      </c>
      <c r="E65" s="59"/>
      <c r="F65" s="60"/>
    </row>
    <row r="66" spans="1:6" ht="17.25" customHeight="1" outlineLevel="1" x14ac:dyDescent="0.3">
      <c r="A66" s="58" t="s">
        <v>56</v>
      </c>
      <c r="C66" s="61"/>
      <c r="D66" s="62">
        <f>$D$44*D65</f>
        <v>0</v>
      </c>
      <c r="E66" s="59"/>
      <c r="F66" s="60"/>
    </row>
    <row r="67" spans="1:6" ht="17.25" customHeight="1" outlineLevel="1" x14ac:dyDescent="0.3">
      <c r="A67" s="58" t="s">
        <v>57</v>
      </c>
      <c r="C67" s="61"/>
      <c r="D67" s="48">
        <v>0</v>
      </c>
      <c r="E67" s="59"/>
      <c r="F67" s="60"/>
    </row>
    <row r="68" spans="1:6" ht="17.25" customHeight="1" outlineLevel="1" x14ac:dyDescent="0.3">
      <c r="A68" s="63" t="s">
        <v>58</v>
      </c>
      <c r="B68" s="64"/>
      <c r="C68" s="65"/>
      <c r="D68" s="66">
        <f>D66*D67</f>
        <v>0</v>
      </c>
      <c r="E68" s="67"/>
      <c r="F68" s="68"/>
    </row>
    <row r="70" spans="1:6" ht="15.75" customHeight="1" x14ac:dyDescent="0.3">
      <c r="A70" s="50" t="s">
        <v>61</v>
      </c>
      <c r="B70" s="51"/>
      <c r="C70" s="52"/>
      <c r="D70" s="51"/>
      <c r="E70" s="51"/>
      <c r="F70" s="51"/>
    </row>
    <row r="71" spans="1:6" ht="17.25" customHeight="1" outlineLevel="1" x14ac:dyDescent="0.3">
      <c r="A71" s="53" t="s">
        <v>51</v>
      </c>
      <c r="B71" s="54"/>
      <c r="C71" s="54"/>
      <c r="D71" s="55"/>
      <c r="E71" s="56" t="s">
        <v>52</v>
      </c>
      <c r="F71" s="57"/>
    </row>
    <row r="72" spans="1:6" ht="17.25" customHeight="1" outlineLevel="1" x14ac:dyDescent="0.3">
      <c r="A72" s="58" t="s">
        <v>53</v>
      </c>
      <c r="D72" s="55" t="s">
        <v>54</v>
      </c>
      <c r="E72" s="59"/>
      <c r="F72" s="60"/>
    </row>
    <row r="73" spans="1:6" ht="17.25" customHeight="1" outlineLevel="1" x14ac:dyDescent="0.3">
      <c r="A73" s="58" t="s">
        <v>55</v>
      </c>
      <c r="D73" s="48">
        <v>0</v>
      </c>
      <c r="E73" s="59"/>
      <c r="F73" s="60"/>
    </row>
    <row r="74" spans="1:6" ht="17.25" customHeight="1" outlineLevel="1" x14ac:dyDescent="0.3">
      <c r="A74" s="58" t="s">
        <v>56</v>
      </c>
      <c r="C74" s="61"/>
      <c r="D74" s="62">
        <f>$D$44*D73</f>
        <v>0</v>
      </c>
      <c r="E74" s="59"/>
      <c r="F74" s="60"/>
    </row>
    <row r="75" spans="1:6" ht="17.25" customHeight="1" outlineLevel="1" x14ac:dyDescent="0.3">
      <c r="A75" s="58" t="s">
        <v>57</v>
      </c>
      <c r="C75" s="61"/>
      <c r="D75" s="48">
        <v>0</v>
      </c>
      <c r="E75" s="59"/>
      <c r="F75" s="60"/>
    </row>
    <row r="76" spans="1:6" ht="17.25" customHeight="1" outlineLevel="1" x14ac:dyDescent="0.3">
      <c r="A76" s="63" t="s">
        <v>58</v>
      </c>
      <c r="B76" s="64"/>
      <c r="C76" s="65"/>
      <c r="D76" s="66">
        <f>D74*D75</f>
        <v>0</v>
      </c>
      <c r="E76" s="67"/>
      <c r="F76" s="68"/>
    </row>
    <row r="78" spans="1:6" ht="15.75" customHeight="1" x14ac:dyDescent="0.3">
      <c r="A78" s="50" t="s">
        <v>62</v>
      </c>
      <c r="B78" s="51"/>
      <c r="C78" s="52"/>
      <c r="D78" s="51"/>
    </row>
    <row r="79" spans="1:6" ht="17.25" customHeight="1" outlineLevel="1" x14ac:dyDescent="0.3">
      <c r="A79" s="69" t="s">
        <v>63</v>
      </c>
      <c r="B79" s="46"/>
      <c r="C79" s="13"/>
      <c r="D79" s="55"/>
    </row>
    <row r="80" spans="1:6" ht="17.25" customHeight="1" outlineLevel="1" x14ac:dyDescent="0.3">
      <c r="A80" s="69" t="s">
        <v>64</v>
      </c>
      <c r="B80" s="46"/>
      <c r="C80" s="13"/>
      <c r="D80" s="55"/>
    </row>
    <row r="81" spans="1:5" ht="17.25" customHeight="1" outlineLevel="1" x14ac:dyDescent="0.3">
      <c r="A81" s="69" t="s">
        <v>65</v>
      </c>
      <c r="B81" s="46"/>
      <c r="C81" s="13"/>
      <c r="D81" s="48">
        <v>0</v>
      </c>
    </row>
    <row r="82" spans="1:5" ht="17.25" customHeight="1" outlineLevel="1" x14ac:dyDescent="0.3">
      <c r="A82" s="69" t="s">
        <v>56</v>
      </c>
      <c r="B82" s="46"/>
      <c r="C82" s="13"/>
      <c r="D82" s="62">
        <f>$D$44*D81</f>
        <v>0</v>
      </c>
    </row>
    <row r="83" spans="1:5" ht="17.25" customHeight="1" outlineLevel="1" x14ac:dyDescent="0.3">
      <c r="A83" s="63" t="s">
        <v>66</v>
      </c>
      <c r="B83" s="64"/>
      <c r="C83" s="65"/>
      <c r="D83" s="48"/>
    </row>
    <row r="85" spans="1:5" ht="15.75" customHeight="1" x14ac:dyDescent="0.3">
      <c r="A85" s="50" t="s">
        <v>67</v>
      </c>
      <c r="B85" s="51"/>
      <c r="C85" s="52"/>
      <c r="D85" s="51"/>
    </row>
    <row r="86" spans="1:5" ht="15.75" customHeight="1" x14ac:dyDescent="0.3">
      <c r="A86" s="70" t="s">
        <v>68</v>
      </c>
      <c r="B86" s="71"/>
      <c r="C86" s="72"/>
      <c r="D86" s="73">
        <f t="shared" ref="D86:D91" si="0">SUMIF($D$48,$A86,$D$50)+SUMIF($D$56,$A86,$D$58)+SUMIF($D$64,$A86,$D$66)+SUMIF($D$72,$A86,$D$74)</f>
        <v>0</v>
      </c>
    </row>
    <row r="87" spans="1:5" ht="15.75" customHeight="1" x14ac:dyDescent="0.3">
      <c r="A87" s="70" t="s">
        <v>69</v>
      </c>
      <c r="B87" s="71"/>
      <c r="C87" s="72"/>
      <c r="D87" s="73">
        <f t="shared" si="0"/>
        <v>0</v>
      </c>
    </row>
    <row r="88" spans="1:5" ht="15.75" customHeight="1" x14ac:dyDescent="0.3">
      <c r="A88" s="70" t="s">
        <v>70</v>
      </c>
      <c r="B88" s="71"/>
      <c r="C88" s="72"/>
      <c r="D88" s="73">
        <f t="shared" si="0"/>
        <v>0</v>
      </c>
    </row>
    <row r="89" spans="1:5" ht="15.75" customHeight="1" x14ac:dyDescent="0.3">
      <c r="A89" s="70" t="s">
        <v>71</v>
      </c>
      <c r="B89" s="71"/>
      <c r="C89" s="72"/>
      <c r="D89" s="49">
        <f t="shared" si="0"/>
        <v>0</v>
      </c>
    </row>
    <row r="90" spans="1:5" ht="15.75" customHeight="1" x14ac:dyDescent="0.3">
      <c r="A90" s="70" t="s">
        <v>72</v>
      </c>
      <c r="B90" s="71"/>
      <c r="C90" s="72"/>
      <c r="D90" s="49">
        <f t="shared" si="0"/>
        <v>0</v>
      </c>
    </row>
    <row r="91" spans="1:5" ht="15.75" customHeight="1" x14ac:dyDescent="0.3">
      <c r="A91" s="74" t="s">
        <v>73</v>
      </c>
      <c r="B91" s="75"/>
      <c r="C91" s="76"/>
      <c r="D91" s="49">
        <f t="shared" si="0"/>
        <v>0</v>
      </c>
    </row>
    <row r="92" spans="1:5" ht="15.75" customHeight="1" x14ac:dyDescent="0.3">
      <c r="A92" s="74" t="s">
        <v>74</v>
      </c>
      <c r="B92" s="75"/>
      <c r="C92" s="76"/>
      <c r="D92" s="49">
        <f>D82</f>
        <v>0</v>
      </c>
    </row>
    <row r="93" spans="1:5" ht="15.75" customHeight="1" x14ac:dyDescent="0.3">
      <c r="A93" s="77" t="s">
        <v>75</v>
      </c>
      <c r="B93" s="78"/>
      <c r="C93" s="79"/>
      <c r="D93" s="80">
        <f>SUM(D86:D92)</f>
        <v>0</v>
      </c>
    </row>
    <row r="94" spans="1:5" ht="14.4" x14ac:dyDescent="0.3">
      <c r="A94" s="19" t="s">
        <v>76</v>
      </c>
      <c r="B94" s="29"/>
      <c r="C94" s="29"/>
      <c r="D94" s="81">
        <f>D93-D44</f>
        <v>-10000000</v>
      </c>
    </row>
    <row r="95" spans="1:5" ht="15.75" customHeight="1" x14ac:dyDescent="0.3">
      <c r="E95" s="82"/>
    </row>
    <row r="96" spans="1:5" ht="15.75" customHeight="1" x14ac:dyDescent="0.3">
      <c r="E96" s="82"/>
    </row>
    <row r="97" spans="5:5" ht="15.75" customHeight="1" x14ac:dyDescent="0.3">
      <c r="E97" s="82"/>
    </row>
  </sheetData>
  <mergeCells count="15">
    <mergeCell ref="A88:C88"/>
    <mergeCell ref="A89:C89"/>
    <mergeCell ref="A90:C90"/>
    <mergeCell ref="E47:F52"/>
    <mergeCell ref="E55:F60"/>
    <mergeCell ref="E63:F68"/>
    <mergeCell ref="E71:F76"/>
    <mergeCell ref="A86:C86"/>
    <mergeCell ref="A87:C87"/>
    <mergeCell ref="A7:I7"/>
    <mergeCell ref="A12:B15"/>
    <mergeCell ref="A21:I21"/>
    <mergeCell ref="A33:I33"/>
    <mergeCell ref="A35:C36"/>
    <mergeCell ref="D35:D36"/>
  </mergeCells>
  <conditionalFormatting sqref="C44">
    <cfRule type="cellIs" dxfId="5" priority="5" operator="equal">
      <formula>0</formula>
    </cfRule>
    <cfRule type="cellIs" dxfId="4" priority="6" operator="notEqual">
      <formula>1</formula>
    </cfRule>
  </conditionalFormatting>
  <conditionalFormatting sqref="C94">
    <cfRule type="cellIs" dxfId="3" priority="3" operator="equal">
      <formula>0</formula>
    </cfRule>
    <cfRule type="cellIs" dxfId="2" priority="4" operator="notEqual">
      <formula>1</formula>
    </cfRule>
  </conditionalFormatting>
  <conditionalFormatting sqref="D94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2026-02-12T12:56:16Z</dcterms:created>
  <dcterms:modified xsi:type="dcterms:W3CDTF">2026-02-12T12:57:00Z</dcterms:modified>
</cp:coreProperties>
</file>