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Elements\Outsourced elements\"/>
    </mc:Choice>
  </mc:AlternateContent>
  <xr:revisionPtr revIDLastSave="0" documentId="13_ncr:1_{BCD33CF6-314F-441A-BA69-C93D5E3DBD63}" xr6:coauthVersionLast="47" xr6:coauthVersionMax="47" xr10:uidLastSave="{00000000-0000-0000-0000-000000000000}"/>
  <bookViews>
    <workbookView xWindow="28680" yWindow="-120" windowWidth="29040" windowHeight="15720" xr2:uid="{9328A03D-7CF2-40AE-BF4C-B62231126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1" l="1"/>
  <c r="D93" i="1"/>
  <c r="D92" i="1"/>
  <c r="D90" i="1"/>
  <c r="D89" i="1"/>
  <c r="D88" i="1"/>
  <c r="D87" i="1"/>
  <c r="D83" i="1"/>
  <c r="D95" i="1" s="1"/>
  <c r="D75" i="1"/>
  <c r="D77" i="1" s="1"/>
  <c r="D67" i="1"/>
  <c r="D69" i="1" s="1"/>
  <c r="D59" i="1"/>
  <c r="D61" i="1" s="1"/>
  <c r="D51" i="1"/>
  <c r="D91" i="1" s="1"/>
  <c r="G49" i="1"/>
  <c r="H49" i="1" l="1"/>
  <c r="I49" i="1" s="1"/>
  <c r="D96" i="1"/>
  <c r="D97" i="1" s="1"/>
  <c r="D53" i="1"/>
</calcChain>
</file>

<file path=xl/sharedStrings.xml><?xml version="1.0" encoding="utf-8"?>
<sst xmlns="http://schemas.openxmlformats.org/spreadsheetml/2006/main" count="115" uniqueCount="82">
  <si>
    <t>DEALSHEET - LEASE ACQUISITION OR RENEWAL</t>
  </si>
  <si>
    <t xml:space="preserve">INV - </t>
  </si>
  <si>
    <r>
      <t>LEAD DEALMAKER</t>
    </r>
    <r>
      <rPr>
        <i/>
        <sz val="11"/>
        <color theme="1"/>
        <rFont val="Arial"/>
        <family val="2"/>
      </rPr>
      <t xml:space="preserve"> (if Finance has any queries)</t>
    </r>
  </si>
  <si>
    <r>
      <t xml:space="preserve">DEAL NAME </t>
    </r>
    <r>
      <rPr>
        <sz val="11"/>
        <color rgb="FFFF0000"/>
        <rFont val="Arial"/>
        <family val="2"/>
      </rPr>
      <t>(must match revenue dashboard)</t>
    </r>
  </si>
  <si>
    <r>
      <t>LANDLORD DETAILS</t>
    </r>
    <r>
      <rPr>
        <i/>
        <sz val="11"/>
        <color theme="0"/>
        <rFont val="Arial"/>
        <family val="2"/>
      </rPr>
      <t xml:space="preserve"> (Party we need to invoice that will be paying us)</t>
    </r>
  </si>
  <si>
    <r>
      <t xml:space="preserve">LEGAL ENTITY NAME </t>
    </r>
    <r>
      <rPr>
        <i/>
        <sz val="11"/>
        <color theme="1"/>
        <rFont val="Arial"/>
        <family val="2"/>
      </rPr>
      <t>(formula from Comm Calc tab)</t>
    </r>
  </si>
  <si>
    <t xml:space="preserve">INVOICING INSTRUCTIONS: </t>
  </si>
  <si>
    <r>
      <t xml:space="preserve">TRADING NAME / HQ </t>
    </r>
    <r>
      <rPr>
        <i/>
        <sz val="11"/>
        <color theme="1"/>
        <rFont val="Arial"/>
        <family val="2"/>
      </rPr>
      <t>(if different to Legal Entity)</t>
    </r>
  </si>
  <si>
    <r>
      <t xml:space="preserve">CONTACT PERSON </t>
    </r>
    <r>
      <rPr>
        <i/>
        <sz val="11"/>
        <color theme="1"/>
        <rFont val="Arial"/>
        <family val="2"/>
      </rPr>
      <t>(to send invoice to)</t>
    </r>
  </si>
  <si>
    <t>REGISTRATION NUMBER</t>
  </si>
  <si>
    <t>CONTACT NO.</t>
  </si>
  <si>
    <r>
      <t>VAT NUMBER</t>
    </r>
    <r>
      <rPr>
        <i/>
        <sz val="11"/>
        <color theme="1"/>
        <rFont val="Arial"/>
        <family val="2"/>
      </rPr>
      <t xml:space="preserve"> (If VAT Registered)</t>
    </r>
  </si>
  <si>
    <t>EMAIL</t>
  </si>
  <si>
    <t>BILLING ADDRESS</t>
  </si>
  <si>
    <t>Line 1</t>
  </si>
  <si>
    <t>ADDITIONAL INVOICING 
INSTRUCTIONS</t>
  </si>
  <si>
    <t>Line 2</t>
  </si>
  <si>
    <t>Line 3</t>
  </si>
  <si>
    <t>Line 4</t>
  </si>
  <si>
    <t>PROPERTY SOURCE</t>
  </si>
  <si>
    <t>PROPERTY LISTING BROKER</t>
  </si>
  <si>
    <r>
      <t xml:space="preserve">PROPERTY REBASE LINK </t>
    </r>
    <r>
      <rPr>
        <i/>
        <sz val="11"/>
        <color theme="1"/>
        <rFont val="Arial"/>
        <family val="2"/>
      </rPr>
      <t xml:space="preserve">(Ops to complete) </t>
    </r>
  </si>
  <si>
    <t>TENANT DETAILS</t>
  </si>
  <si>
    <r>
      <t xml:space="preserve">LEGAL ENTITY NAME </t>
    </r>
    <r>
      <rPr>
        <i/>
        <sz val="11"/>
        <color theme="1"/>
        <rFont val="Arial"/>
        <family val="2"/>
      </rPr>
      <t>(from Comm Calc tab)</t>
    </r>
  </si>
  <si>
    <t>CONTACT PERSON</t>
  </si>
  <si>
    <t>ADDRESS</t>
  </si>
  <si>
    <t>TENANT INDUSTRY</t>
  </si>
  <si>
    <r>
      <t xml:space="preserve">TENANT SOURCE </t>
    </r>
    <r>
      <rPr>
        <i/>
        <sz val="11"/>
        <color theme="1"/>
        <rFont val="Arial"/>
        <family val="2"/>
      </rPr>
      <t>(i.e. Lead Source)</t>
    </r>
  </si>
  <si>
    <t>Select</t>
  </si>
  <si>
    <r>
      <t xml:space="preserve">TENANT LISTING BROKER </t>
    </r>
    <r>
      <rPr>
        <i/>
        <sz val="11"/>
        <color theme="1"/>
        <rFont val="Arial"/>
        <family val="2"/>
      </rPr>
      <t>(ie. Lead Listing Broker)</t>
    </r>
  </si>
  <si>
    <r>
      <t xml:space="preserve">LEAD REBASE LINK </t>
    </r>
    <r>
      <rPr>
        <i/>
        <sz val="11"/>
        <color theme="1"/>
        <rFont val="Arial"/>
        <family val="2"/>
      </rPr>
      <t xml:space="preserve">(Ops to complete) </t>
    </r>
  </si>
  <si>
    <t>TRANSACTION DETAILS &amp; CHECKLIST</t>
  </si>
  <si>
    <t>LEASE TYPE</t>
  </si>
  <si>
    <t>Lease Acquisition</t>
  </si>
  <si>
    <t>DOCUMENT CHECKLIST</t>
  </si>
  <si>
    <r>
      <t>PREMISES / ADDRESS</t>
    </r>
    <r>
      <rPr>
        <i/>
        <sz val="11"/>
        <color theme="1"/>
        <rFont val="Arial"/>
        <family val="2"/>
      </rPr>
      <t xml:space="preserve"> (formula from Comm Calc tab)</t>
    </r>
  </si>
  <si>
    <t xml:space="preserve">MANDATE </t>
  </si>
  <si>
    <r>
      <t xml:space="preserve">OFFER TO LEASE </t>
    </r>
    <r>
      <rPr>
        <i/>
        <sz val="11"/>
        <color theme="1"/>
        <rFont val="Arial"/>
        <family val="2"/>
      </rPr>
      <t xml:space="preserve">(Signed by both parties) </t>
    </r>
  </si>
  <si>
    <t>SUBURB / AREA</t>
  </si>
  <si>
    <r>
      <t xml:space="preserve">LEASE AGREEMENT </t>
    </r>
    <r>
      <rPr>
        <i/>
        <sz val="11"/>
        <color theme="1"/>
        <rFont val="Arial"/>
        <family val="2"/>
      </rPr>
      <t xml:space="preserve">(Signed by both parties) </t>
    </r>
  </si>
  <si>
    <r>
      <t xml:space="preserve">GLA </t>
    </r>
    <r>
      <rPr>
        <b/>
        <i/>
        <sz val="11"/>
        <color theme="1"/>
        <rFont val="Arial"/>
        <family val="2"/>
      </rPr>
      <t>(m</t>
    </r>
    <r>
      <rPr>
        <b/>
        <i/>
        <vertAlign val="superscript"/>
        <sz val="11"/>
        <color theme="1"/>
        <rFont val="Arial"/>
        <family val="2"/>
      </rPr>
      <t>2</t>
    </r>
    <r>
      <rPr>
        <b/>
        <i/>
        <sz val="11"/>
        <color theme="1"/>
        <rFont val="Arial"/>
        <family val="2"/>
      </rPr>
      <t>)</t>
    </r>
    <r>
      <rPr>
        <b/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(formula from Comm Calc tab)</t>
    </r>
  </si>
  <si>
    <r>
      <t xml:space="preserve">LANDLORD'S FICA </t>
    </r>
    <r>
      <rPr>
        <i/>
        <sz val="11"/>
        <color theme="1"/>
        <rFont val="Arial"/>
        <family val="2"/>
      </rPr>
      <t>(N/A if Listed on the JSE)</t>
    </r>
  </si>
  <si>
    <r>
      <t xml:space="preserve">TOTAL LEASE VALUE </t>
    </r>
    <r>
      <rPr>
        <i/>
        <sz val="11"/>
        <color theme="1"/>
        <rFont val="Arial"/>
        <family val="2"/>
      </rPr>
      <t>(formula from Comm Calc tab)</t>
    </r>
  </si>
  <si>
    <r>
      <t xml:space="preserve">TENANT'S FICA </t>
    </r>
    <r>
      <rPr>
        <i/>
        <sz val="11"/>
        <color theme="1"/>
        <rFont val="Arial"/>
        <family val="2"/>
      </rPr>
      <t>(N/A if Listed on the JSE)</t>
    </r>
  </si>
  <si>
    <r>
      <t xml:space="preserve">LEASE LENGTH </t>
    </r>
    <r>
      <rPr>
        <i/>
        <sz val="11"/>
        <color theme="1"/>
        <rFont val="Arial"/>
        <family val="2"/>
      </rPr>
      <t>(formula from Comm Calc tab)</t>
    </r>
  </si>
  <si>
    <t>CLIENT TESTIMONIAL</t>
  </si>
  <si>
    <t>PROPERTY TYPE</t>
  </si>
  <si>
    <t>PROPERTY GRADE</t>
  </si>
  <si>
    <r>
      <t xml:space="preserve">DEAL UPDATE - </t>
    </r>
    <r>
      <rPr>
        <i/>
        <sz val="11"/>
        <color theme="1"/>
        <rFont val="Arial"/>
        <family val="2"/>
      </rPr>
      <t>Please confirm dates to assist the Finance with payment follow ups</t>
    </r>
  </si>
  <si>
    <r>
      <t xml:space="preserve">LEASE EXPIRY DATE </t>
    </r>
    <r>
      <rPr>
        <i/>
        <sz val="11"/>
        <color theme="1"/>
        <rFont val="Arial"/>
        <family val="2"/>
      </rPr>
      <t>(formula from Comm Calc tab)</t>
    </r>
  </si>
  <si>
    <t xml:space="preserve">DEPOSIT / GUARANTEES PAID / DUE DATE </t>
  </si>
  <si>
    <t>FIRST MONTHS RENTAL PAID / DUE DATE</t>
  </si>
  <si>
    <r>
      <t xml:space="preserve">COMMISSION AMOUNT (EX VAT) </t>
    </r>
    <r>
      <rPr>
        <i/>
        <sz val="11"/>
        <color theme="1"/>
        <rFont val="Arial"/>
        <family val="2"/>
      </rPr>
      <t>(from Comm Calc tab)</t>
    </r>
  </si>
  <si>
    <t>TENANT BENEFICIAL OCCUPATION DATE</t>
  </si>
  <si>
    <t>BROKER 1</t>
  </si>
  <si>
    <r>
      <t xml:space="preserve">BROKER NAME </t>
    </r>
    <r>
      <rPr>
        <i/>
        <sz val="11"/>
        <color theme="1"/>
        <rFont val="Arial"/>
        <family val="2"/>
      </rPr>
      <t>(Name &amp; Surname)</t>
    </r>
  </si>
  <si>
    <t>Broker's Signature</t>
  </si>
  <si>
    <r>
      <t>BROKERS DIVISION</t>
    </r>
    <r>
      <rPr>
        <i/>
        <sz val="11"/>
        <color theme="1"/>
        <rFont val="Arial"/>
        <family val="2"/>
      </rPr>
      <t xml:space="preserve"> (Select from dropdown)</t>
    </r>
  </si>
  <si>
    <t>CT AUCTION</t>
  </si>
  <si>
    <t>BROKER'S SPLIT OF GROSS DEAL</t>
  </si>
  <si>
    <r>
      <t xml:space="preserve">GROSS BILLING </t>
    </r>
    <r>
      <rPr>
        <i/>
        <sz val="11"/>
        <color theme="1"/>
        <rFont val="Arial"/>
        <family val="2"/>
      </rPr>
      <t>(Formula)</t>
    </r>
  </si>
  <si>
    <t>BROKER'S SPLIT WITH COMPANY</t>
  </si>
  <si>
    <r>
      <t xml:space="preserve">NET COMMISSION (Before Tax) </t>
    </r>
    <r>
      <rPr>
        <i/>
        <sz val="11"/>
        <color theme="1"/>
        <rFont val="Arial"/>
        <family val="2"/>
      </rPr>
      <t>(Formula)</t>
    </r>
  </si>
  <si>
    <t>BROKER 2 (Expand If Applicable)</t>
  </si>
  <si>
    <t>BROKER 3 (Expand If Applicable)</t>
  </si>
  <si>
    <t>BROKER 4 (Expand If Applicable)</t>
  </si>
  <si>
    <t>EXTERNAL (Expand if Applicable)</t>
  </si>
  <si>
    <r>
      <t xml:space="preserve">ENTITY NAME </t>
    </r>
    <r>
      <rPr>
        <i/>
        <sz val="11"/>
        <color theme="1"/>
        <rFont val="Arial"/>
        <family val="2"/>
      </rPr>
      <t>(If applicable)</t>
    </r>
  </si>
  <si>
    <t>CONTACT NAME</t>
  </si>
  <si>
    <t>SPLIT OF GROSS DEAL REVENUE</t>
  </si>
  <si>
    <t>CONTACT EMAIL</t>
  </si>
  <si>
    <t>SUMMARY (For Finance Use, Do Not Update)</t>
  </si>
  <si>
    <t>GCS</t>
  </si>
  <si>
    <t>JHB BROKING</t>
  </si>
  <si>
    <t>CT BROKING</t>
  </si>
  <si>
    <t>JHB AUCTION</t>
  </si>
  <si>
    <t>PE AUCTION</t>
  </si>
  <si>
    <t>DBN AUCTION</t>
  </si>
  <si>
    <t>SHARED SERVICES</t>
  </si>
  <si>
    <t>EXTERNAL REFERRAL</t>
  </si>
  <si>
    <t>TOTAL</t>
  </si>
  <si>
    <t>CHECK - must be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</si>
</sst>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dd/mmm/yyyy"/>
    <numFmt numFmtId="166" formatCode="dd/mmmm/yyyy"/>
    <numFmt numFmtId="167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1"/>
      <color theme="0" tint="-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222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">
    <xf numFmtId="0" fontId="0" fillId="0" borderId="0" xfId="0"/>
    <xf numFmtId="0" fontId="3" fillId="2" borderId="0" xfId="2" applyFont="1" applyFill="1" applyAlignment="1" applyProtection="1">
      <alignment vertical="center"/>
      <protection locked="0"/>
    </xf>
    <xf numFmtId="0" fontId="4" fillId="2" borderId="0" xfId="2" applyFont="1" applyFill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3" fillId="0" borderId="0" xfId="2" applyFont="1" applyAlignment="1" applyProtection="1">
      <alignment vertical="center"/>
      <protection locked="0"/>
    </xf>
    <xf numFmtId="0" fontId="7" fillId="0" borderId="1" xfId="2" applyFont="1" applyBorder="1" applyAlignment="1" applyProtection="1">
      <alignment vertical="center"/>
      <protection locked="0"/>
    </xf>
    <xf numFmtId="0" fontId="7" fillId="0" borderId="2" xfId="2" applyFont="1" applyBorder="1" applyAlignment="1" applyProtection="1">
      <alignment vertical="center"/>
      <protection locked="0"/>
    </xf>
    <xf numFmtId="0" fontId="7" fillId="0" borderId="3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vertical="center"/>
      <protection locked="0"/>
    </xf>
    <xf numFmtId="0" fontId="3" fillId="0" borderId="4" xfId="2" applyFont="1" applyBorder="1" applyAlignment="1">
      <alignment vertical="center" wrapText="1"/>
    </xf>
    <xf numFmtId="0" fontId="8" fillId="0" borderId="0" xfId="2" applyFont="1" applyAlignment="1" applyProtection="1">
      <alignment vertical="center"/>
      <protection locked="0"/>
    </xf>
    <xf numFmtId="0" fontId="3" fillId="0" borderId="6" xfId="2" applyFont="1" applyBorder="1" applyAlignment="1" applyProtection="1">
      <alignment vertical="center" wrapText="1"/>
      <protection locked="0"/>
    </xf>
    <xf numFmtId="0" fontId="3" fillId="0" borderId="2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horizontal="left" vertical="center"/>
      <protection locked="0"/>
    </xf>
    <xf numFmtId="49" fontId="12" fillId="0" borderId="4" xfId="2" quotePrefix="1" applyNumberFormat="1" applyFont="1" applyBorder="1" applyAlignment="1" applyProtection="1">
      <alignment vertical="center"/>
      <protection locked="0"/>
    </xf>
    <xf numFmtId="0" fontId="3" fillId="0" borderId="3" xfId="2" applyFont="1" applyBorder="1" applyAlignment="1" applyProtection="1">
      <alignment vertical="center"/>
      <protection locked="0"/>
    </xf>
    <xf numFmtId="49" fontId="12" fillId="0" borderId="7" xfId="2" quotePrefix="1" applyNumberFormat="1" applyFont="1" applyBorder="1" applyAlignment="1" applyProtection="1">
      <alignment vertical="center"/>
      <protection locked="0"/>
    </xf>
    <xf numFmtId="0" fontId="8" fillId="0" borderId="9" xfId="2" applyFont="1" applyBorder="1" applyAlignment="1" applyProtection="1">
      <alignment vertical="center"/>
      <protection locked="0"/>
    </xf>
    <xf numFmtId="0" fontId="12" fillId="0" borderId="4" xfId="2" quotePrefix="1" applyFont="1" applyBorder="1" applyAlignment="1" applyProtection="1">
      <alignment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0" fontId="3" fillId="0" borderId="0" xfId="2" applyFont="1" applyAlignment="1" applyProtection="1">
      <alignment horizontal="left" vertical="center"/>
      <protection locked="0"/>
    </xf>
    <xf numFmtId="0" fontId="8" fillId="0" borderId="12" xfId="2" applyFont="1" applyBorder="1" applyAlignment="1" applyProtection="1">
      <alignment vertical="center"/>
      <protection locked="0"/>
    </xf>
    <xf numFmtId="0" fontId="7" fillId="0" borderId="0" xfId="2" applyFont="1" applyAlignment="1" applyProtection="1">
      <alignment vertical="center"/>
      <protection locked="0"/>
    </xf>
    <xf numFmtId="0" fontId="12" fillId="0" borderId="0" xfId="2" quotePrefix="1" applyFont="1" applyAlignment="1" applyProtection="1">
      <alignment horizontal="center" vertical="center" wrapText="1"/>
      <protection locked="0"/>
    </xf>
    <xf numFmtId="49" fontId="12" fillId="0" borderId="4" xfId="2" quotePrefix="1" applyNumberFormat="1" applyFont="1" applyBorder="1" applyAlignment="1" applyProtection="1">
      <alignment vertical="center" wrapText="1"/>
      <protection locked="0"/>
    </xf>
    <xf numFmtId="49" fontId="13" fillId="0" borderId="4" xfId="3" quotePrefix="1" applyNumberFormat="1" applyBorder="1" applyAlignment="1" applyProtection="1">
      <alignment vertical="center" wrapText="1"/>
      <protection locked="0"/>
    </xf>
    <xf numFmtId="0" fontId="7" fillId="0" borderId="5" xfId="2" applyFont="1" applyBorder="1" applyAlignment="1" applyProtection="1">
      <alignment vertical="center"/>
      <protection locked="0"/>
    </xf>
    <xf numFmtId="49" fontId="12" fillId="0" borderId="0" xfId="2" quotePrefix="1" applyNumberFormat="1" applyFont="1" applyAlignment="1" applyProtection="1">
      <alignment vertical="center" wrapText="1"/>
      <protection locked="0"/>
    </xf>
    <xf numFmtId="0" fontId="3" fillId="0" borderId="4" xfId="2" quotePrefix="1" applyFont="1" applyBorder="1" applyAlignment="1">
      <alignment vertical="center" wrapText="1"/>
    </xf>
    <xf numFmtId="0" fontId="12" fillId="0" borderId="4" xfId="2" applyFont="1" applyBorder="1" applyAlignment="1" applyProtection="1">
      <alignment horizontal="left" vertical="center" wrapText="1"/>
      <protection locked="0"/>
    </xf>
    <xf numFmtId="0" fontId="3" fillId="0" borderId="6" xfId="2" quotePrefix="1" applyFont="1" applyBorder="1" applyAlignment="1" applyProtection="1">
      <alignment vertical="center" wrapText="1"/>
      <protection locked="0"/>
    </xf>
    <xf numFmtId="49" fontId="12" fillId="0" borderId="4" xfId="2" applyNumberFormat="1" applyFont="1" applyBorder="1" applyAlignment="1" applyProtection="1">
      <alignment vertical="center"/>
      <protection locked="0"/>
    </xf>
    <xf numFmtId="49" fontId="12" fillId="0" borderId="4" xfId="2" quotePrefix="1" applyNumberFormat="1" applyFont="1" applyBorder="1" applyAlignment="1" applyProtection="1">
      <alignment horizontal="left" vertical="center" wrapText="1"/>
      <protection locked="0"/>
    </xf>
    <xf numFmtId="0" fontId="3" fillId="0" borderId="4" xfId="2" applyFont="1" applyBorder="1" applyAlignment="1" applyProtection="1">
      <alignment horizontal="right" vertical="center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3" fontId="3" fillId="0" borderId="4" xfId="2" applyNumberFormat="1" applyFont="1" applyBorder="1" applyAlignment="1" applyProtection="1">
      <alignment horizontal="right" vertical="center"/>
      <protection locked="0"/>
    </xf>
    <xf numFmtId="4" fontId="3" fillId="0" borderId="0" xfId="2" applyNumberFormat="1" applyFont="1" applyAlignment="1" applyProtection="1">
      <alignment vertical="center"/>
      <protection locked="0"/>
    </xf>
    <xf numFmtId="164" fontId="3" fillId="0" borderId="4" xfId="1" applyNumberFormat="1" applyFont="1" applyBorder="1" applyAlignment="1" applyProtection="1">
      <alignment horizontal="right" vertical="center"/>
      <protection locked="0"/>
    </xf>
    <xf numFmtId="164" fontId="3" fillId="0" borderId="4" xfId="1" applyNumberFormat="1" applyFont="1" applyFill="1" applyBorder="1" applyAlignment="1" applyProtection="1">
      <alignment horizontal="right" vertical="center"/>
      <protection locked="0"/>
    </xf>
    <xf numFmtId="165" fontId="3" fillId="0" borderId="4" xfId="2" applyNumberFormat="1" applyFont="1" applyBorder="1" applyAlignment="1" applyProtection="1">
      <alignment horizontal="right" vertical="center"/>
      <protection locked="0"/>
    </xf>
    <xf numFmtId="166" fontId="3" fillId="0" borderId="4" xfId="2" applyNumberFormat="1" applyFont="1" applyBorder="1" applyAlignment="1" applyProtection="1">
      <alignment horizontal="left" vertical="center"/>
      <protection locked="0"/>
    </xf>
    <xf numFmtId="43" fontId="3" fillId="0" borderId="4" xfId="1" applyFont="1" applyBorder="1" applyAlignment="1" applyProtection="1">
      <alignment horizontal="right" vertical="center"/>
    </xf>
    <xf numFmtId="0" fontId="10" fillId="2" borderId="5" xfId="2" applyFont="1" applyFill="1" applyBorder="1" applyAlignment="1" applyProtection="1">
      <alignment vertical="center"/>
      <protection locked="0"/>
    </xf>
    <xf numFmtId="0" fontId="10" fillId="2" borderId="0" xfId="2" applyFont="1" applyFill="1" applyAlignment="1" applyProtection="1">
      <alignment vertical="center"/>
      <protection locked="0"/>
    </xf>
    <xf numFmtId="0" fontId="10" fillId="2" borderId="0" xfId="2" applyFont="1" applyFill="1" applyAlignment="1" applyProtection="1">
      <alignment horizontal="center" vertical="center"/>
      <protection locked="0"/>
    </xf>
    <xf numFmtId="0" fontId="3" fillId="0" borderId="8" xfId="2" applyFont="1" applyBorder="1" applyAlignment="1" applyProtection="1">
      <alignment vertical="center"/>
      <protection locked="0"/>
    </xf>
    <xf numFmtId="0" fontId="3" fillId="0" borderId="9" xfId="2" applyFont="1" applyBorder="1" applyAlignment="1" applyProtection="1">
      <alignment vertical="center"/>
      <protection locked="0"/>
    </xf>
    <xf numFmtId="3" fontId="3" fillId="0" borderId="4" xfId="2" applyNumberFormat="1" applyFont="1" applyBorder="1" applyAlignment="1" applyProtection="1">
      <alignment horizontal="left" vertical="center"/>
      <protection locked="0"/>
    </xf>
    <xf numFmtId="0" fontId="3" fillId="0" borderId="5" xfId="2" applyFont="1" applyBorder="1" applyAlignment="1" applyProtection="1">
      <alignment vertical="center"/>
      <protection locked="0"/>
    </xf>
    <xf numFmtId="43" fontId="3" fillId="0" borderId="0" xfId="2" applyNumberFormat="1" applyFont="1" applyAlignment="1" applyProtection="1">
      <alignment vertical="center"/>
      <protection locked="0"/>
    </xf>
    <xf numFmtId="9" fontId="3" fillId="0" borderId="4" xfId="4" applyFont="1" applyFill="1" applyBorder="1" applyAlignment="1" applyProtection="1">
      <alignment horizontal="center" vertical="center"/>
      <protection locked="0"/>
    </xf>
    <xf numFmtId="0" fontId="3" fillId="0" borderId="14" xfId="2" applyFont="1" applyBorder="1" applyAlignment="1" applyProtection="1">
      <alignment vertical="center"/>
      <protection locked="0"/>
    </xf>
    <xf numFmtId="167" fontId="3" fillId="0" borderId="6" xfId="5" applyFont="1" applyFill="1" applyBorder="1" applyAlignment="1" applyProtection="1">
      <alignment vertical="center"/>
    </xf>
    <xf numFmtId="0" fontId="3" fillId="0" borderId="11" xfId="2" applyFont="1" applyBorder="1" applyAlignment="1" applyProtection="1">
      <alignment vertical="center"/>
      <protection locked="0"/>
    </xf>
    <xf numFmtId="0" fontId="3" fillId="0" borderId="12" xfId="2" applyFont="1" applyBorder="1" applyAlignment="1" applyProtection="1">
      <alignment vertical="center"/>
      <protection locked="0"/>
    </xf>
    <xf numFmtId="0" fontId="3" fillId="0" borderId="13" xfId="2" applyFont="1" applyBorder="1" applyAlignment="1" applyProtection="1">
      <alignment vertical="center"/>
      <protection locked="0"/>
    </xf>
    <xf numFmtId="167" fontId="3" fillId="0" borderId="4" xfId="5" applyFont="1" applyFill="1" applyBorder="1" applyAlignment="1" applyProtection="1">
      <alignment vertical="center"/>
    </xf>
    <xf numFmtId="0" fontId="3" fillId="0" borderId="1" xfId="2" applyFont="1" applyBorder="1" applyAlignment="1" applyProtection="1">
      <alignment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43" fontId="3" fillId="0" borderId="4" xfId="1" applyFont="1" applyFill="1" applyBorder="1" applyAlignment="1" applyProtection="1">
      <alignment horizontal="left" vertical="center"/>
    </xf>
    <xf numFmtId="0" fontId="7" fillId="0" borderId="0" xfId="2" applyFont="1" applyAlignment="1" applyProtection="1">
      <alignment vertical="center" wrapText="1"/>
      <protection locked="0"/>
    </xf>
    <xf numFmtId="0" fontId="7" fillId="0" borderId="1" xfId="2" applyFont="1" applyBorder="1" applyAlignment="1" applyProtection="1">
      <alignment horizontal="left" vertical="center"/>
      <protection locked="0"/>
    </xf>
    <xf numFmtId="0" fontId="7" fillId="0" borderId="2" xfId="2" applyFont="1" applyBorder="1" applyAlignment="1" applyProtection="1">
      <alignment horizontal="left" vertical="center"/>
      <protection locked="0"/>
    </xf>
    <xf numFmtId="0" fontId="7" fillId="0" borderId="3" xfId="2" applyFont="1" applyBorder="1" applyAlignment="1" applyProtection="1">
      <alignment horizontal="left" vertical="center"/>
      <protection locked="0"/>
    </xf>
    <xf numFmtId="43" fontId="7" fillId="0" borderId="4" xfId="1" applyFont="1" applyFill="1" applyBorder="1" applyAlignment="1" applyProtection="1">
      <alignment horizontal="left" vertical="center"/>
    </xf>
    <xf numFmtId="43" fontId="3" fillId="0" borderId="0" xfId="1" applyFont="1" applyFill="1" applyBorder="1" applyAlignment="1" applyProtection="1">
      <alignment vertical="center"/>
    </xf>
    <xf numFmtId="3" fontId="16" fillId="0" borderId="0" xfId="2" applyNumberFormat="1" applyFont="1" applyAlignment="1" applyProtection="1">
      <alignment vertical="center" wrapText="1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0" fontId="7" fillId="0" borderId="8" xfId="2" applyFont="1" applyBorder="1" applyAlignment="1" applyProtection="1">
      <alignment horizontal="left" vertical="center"/>
      <protection locked="0"/>
    </xf>
    <xf numFmtId="0" fontId="7" fillId="0" borderId="9" xfId="2" applyFont="1" applyBorder="1" applyAlignment="1" applyProtection="1">
      <alignment horizontal="left" vertical="center"/>
      <protection locked="0"/>
    </xf>
    <xf numFmtId="0" fontId="7" fillId="0" borderId="11" xfId="2" applyFont="1" applyBorder="1" applyAlignment="1" applyProtection="1">
      <alignment horizontal="left" vertical="center"/>
      <protection locked="0"/>
    </xf>
    <xf numFmtId="0" fontId="7" fillId="0" borderId="12" xfId="2" applyFont="1" applyBorder="1" applyAlignment="1" applyProtection="1">
      <alignment horizontal="left" vertical="center"/>
      <protection locked="0"/>
    </xf>
    <xf numFmtId="0" fontId="3" fillId="0" borderId="4" xfId="2" applyFont="1" applyBorder="1" applyAlignment="1">
      <alignment horizontal="right" vertical="center" wrapText="1"/>
    </xf>
    <xf numFmtId="3" fontId="16" fillId="0" borderId="8" xfId="2" applyNumberFormat="1" applyFont="1" applyBorder="1" applyAlignment="1" applyProtection="1">
      <alignment horizontal="center" vertical="center" wrapText="1"/>
      <protection locked="0"/>
    </xf>
    <xf numFmtId="3" fontId="16" fillId="0" borderId="10" xfId="2" applyNumberFormat="1" applyFont="1" applyBorder="1" applyAlignment="1" applyProtection="1">
      <alignment horizontal="center" vertical="center" wrapText="1"/>
      <protection locked="0"/>
    </xf>
    <xf numFmtId="3" fontId="16" fillId="0" borderId="5" xfId="2" applyNumberFormat="1" applyFont="1" applyBorder="1" applyAlignment="1" applyProtection="1">
      <alignment horizontal="center" vertical="center" wrapText="1"/>
      <protection locked="0"/>
    </xf>
    <xf numFmtId="3" fontId="16" fillId="0" borderId="14" xfId="2" applyNumberFormat="1" applyFont="1" applyBorder="1" applyAlignment="1" applyProtection="1">
      <alignment horizontal="center" vertical="center" wrapText="1"/>
      <protection locked="0"/>
    </xf>
    <xf numFmtId="3" fontId="16" fillId="0" borderId="11" xfId="2" applyNumberFormat="1" applyFont="1" applyBorder="1" applyAlignment="1" applyProtection="1">
      <alignment horizontal="center" vertical="center" wrapText="1"/>
      <protection locked="0"/>
    </xf>
    <xf numFmtId="3" fontId="16" fillId="0" borderId="13" xfId="2" applyNumberFormat="1" applyFont="1" applyBorder="1" applyAlignment="1" applyProtection="1">
      <alignment horizontal="center" vertical="center" wrapText="1"/>
      <protection locked="0"/>
    </xf>
    <xf numFmtId="0" fontId="10" fillId="2" borderId="5" xfId="2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Alignment="1" applyProtection="1">
      <alignment horizontal="left" vertical="center"/>
      <protection locked="0"/>
    </xf>
    <xf numFmtId="0" fontId="7" fillId="0" borderId="5" xfId="2" applyFont="1" applyBorder="1" applyAlignment="1" applyProtection="1">
      <alignment horizontal="left"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7" fillId="0" borderId="8" xfId="2" applyFont="1" applyBorder="1" applyAlignment="1" applyProtection="1">
      <alignment horizontal="left" vertical="center" wrapText="1"/>
      <protection locked="0"/>
    </xf>
    <xf numFmtId="0" fontId="7" fillId="0" borderId="9" xfId="2" applyFont="1" applyBorder="1" applyAlignment="1" applyProtection="1">
      <alignment horizontal="left" vertical="center" wrapText="1"/>
      <protection locked="0"/>
    </xf>
    <xf numFmtId="0" fontId="7" fillId="0" borderId="10" xfId="2" applyFont="1" applyBorder="1" applyAlignment="1" applyProtection="1">
      <alignment horizontal="left" vertical="center" wrapText="1"/>
      <protection locked="0"/>
    </xf>
    <xf numFmtId="0" fontId="7" fillId="0" borderId="11" xfId="2" applyFont="1" applyBorder="1" applyAlignment="1" applyProtection="1">
      <alignment horizontal="left" vertical="center" wrapText="1"/>
      <protection locked="0"/>
    </xf>
    <xf numFmtId="0" fontId="7" fillId="0" borderId="12" xfId="2" applyFont="1" applyBorder="1" applyAlignment="1" applyProtection="1">
      <alignment horizontal="left" vertical="center" wrapText="1"/>
      <protection locked="0"/>
    </xf>
    <xf numFmtId="0" fontId="7" fillId="0" borderId="13" xfId="2" applyFont="1" applyBorder="1" applyAlignment="1" applyProtection="1">
      <alignment horizontal="left" vertical="center" wrapText="1"/>
      <protection locked="0"/>
    </xf>
    <xf numFmtId="0" fontId="3" fillId="0" borderId="4" xfId="2" applyFont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 xr:uid="{315E18BC-AF61-42BB-BF11-408A64343985}"/>
    <cellStyle name="Hyperlink" xfId="3" builtinId="8"/>
    <cellStyle name="Normal" xfId="0" builtinId="0"/>
    <cellStyle name="Normal 2" xfId="2" xr:uid="{0714EC86-5069-49F2-B2CF-651E3D68E81E}"/>
    <cellStyle name="Percent 2" xfId="4" xr:uid="{C887B07F-1168-49B6-9AE3-B6EC3F9F0056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E2D4-2C69-4732-82FD-F1F8F4CB1CBD}">
  <dimension ref="A1:I100"/>
  <sheetViews>
    <sheetView tabSelected="1" topLeftCell="A11" workbookViewId="0">
      <selection activeCell="G45" sqref="G45"/>
    </sheetView>
  </sheetViews>
  <sheetFormatPr defaultRowHeight="14.4" x14ac:dyDescent="0.3"/>
  <cols>
    <col min="1" max="1" width="5.44140625" style="5" customWidth="1"/>
    <col min="2" max="2" width="33.109375" style="5" customWidth="1"/>
    <col min="3" max="3" width="18" style="5" customWidth="1"/>
    <col min="4" max="4" width="33.109375" style="5" customWidth="1"/>
    <col min="5" max="5" width="5.109375" style="5" customWidth="1"/>
    <col min="6" max="6" width="8" style="5" customWidth="1"/>
    <col min="7" max="7" width="24.88671875" style="5" customWidth="1"/>
    <col min="8" max="8" width="11.88671875" style="5" customWidth="1"/>
    <col min="9" max="9" width="37.88671875" style="5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22.8" x14ac:dyDescent="0.3">
      <c r="A2" s="2" t="s">
        <v>0</v>
      </c>
      <c r="B2" s="2"/>
      <c r="C2" s="1"/>
      <c r="D2" s="3"/>
      <c r="E2" s="3"/>
      <c r="F2" s="4" t="s">
        <v>1</v>
      </c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5" spans="1:9" x14ac:dyDescent="0.3">
      <c r="A5" s="6" t="s">
        <v>2</v>
      </c>
      <c r="B5" s="7"/>
      <c r="C5" s="8"/>
      <c r="D5" s="9"/>
      <c r="F5" s="6" t="s">
        <v>3</v>
      </c>
      <c r="G5" s="7"/>
      <c r="H5" s="8"/>
      <c r="I5" s="9"/>
    </row>
    <row r="7" spans="1:9" x14ac:dyDescent="0.3">
      <c r="A7" s="84" t="s">
        <v>4</v>
      </c>
      <c r="B7" s="85"/>
      <c r="C7" s="85"/>
      <c r="D7" s="85"/>
      <c r="E7" s="85"/>
      <c r="F7" s="85"/>
      <c r="G7" s="85"/>
      <c r="H7" s="85"/>
      <c r="I7" s="85"/>
    </row>
    <row r="8" spans="1:9" x14ac:dyDescent="0.3">
      <c r="A8" s="6" t="s">
        <v>5</v>
      </c>
      <c r="B8" s="7"/>
      <c r="C8" s="7"/>
      <c r="D8" s="10"/>
      <c r="F8" s="11" t="s">
        <v>6</v>
      </c>
    </row>
    <row r="9" spans="1:9" x14ac:dyDescent="0.3">
      <c r="A9" s="6" t="s">
        <v>7</v>
      </c>
      <c r="B9" s="7"/>
      <c r="C9" s="8"/>
      <c r="D9" s="12"/>
      <c r="F9" s="6" t="s">
        <v>8</v>
      </c>
      <c r="G9" s="7"/>
      <c r="H9" s="13"/>
      <c r="I9" s="14"/>
    </row>
    <row r="10" spans="1:9" x14ac:dyDescent="0.3">
      <c r="A10" s="6" t="s">
        <v>9</v>
      </c>
      <c r="B10" s="7"/>
      <c r="C10" s="8"/>
      <c r="D10" s="15"/>
      <c r="F10" s="6" t="s">
        <v>10</v>
      </c>
      <c r="G10" s="7"/>
      <c r="H10" s="16"/>
      <c r="I10" s="14"/>
    </row>
    <row r="11" spans="1:9" x14ac:dyDescent="0.3">
      <c r="A11" s="6" t="s">
        <v>11</v>
      </c>
      <c r="B11" s="7"/>
      <c r="C11" s="8"/>
      <c r="D11" s="17"/>
      <c r="F11" s="6" t="s">
        <v>12</v>
      </c>
      <c r="G11" s="7"/>
      <c r="H11" s="16"/>
      <c r="I11" s="14"/>
    </row>
    <row r="12" spans="1:9" x14ac:dyDescent="0.3">
      <c r="A12" s="73" t="s">
        <v>13</v>
      </c>
      <c r="B12" s="74"/>
      <c r="C12" s="18" t="s">
        <v>14</v>
      </c>
      <c r="D12" s="19"/>
      <c r="F12" s="88" t="s">
        <v>15</v>
      </c>
      <c r="G12" s="89"/>
      <c r="H12" s="90"/>
      <c r="I12" s="94"/>
    </row>
    <row r="13" spans="1:9" x14ac:dyDescent="0.3">
      <c r="A13" s="86"/>
      <c r="B13" s="87"/>
      <c r="C13" s="11" t="s">
        <v>16</v>
      </c>
      <c r="D13" s="19"/>
      <c r="F13" s="91"/>
      <c r="G13" s="92"/>
      <c r="H13" s="93"/>
      <c r="I13" s="94"/>
    </row>
    <row r="14" spans="1:9" x14ac:dyDescent="0.3">
      <c r="A14" s="86"/>
      <c r="B14" s="87"/>
      <c r="C14" s="11" t="s">
        <v>17</v>
      </c>
      <c r="D14" s="19"/>
      <c r="F14" s="20"/>
      <c r="G14" s="20"/>
      <c r="H14" s="20"/>
      <c r="I14" s="21"/>
    </row>
    <row r="15" spans="1:9" x14ac:dyDescent="0.3">
      <c r="A15" s="75"/>
      <c r="B15" s="76"/>
      <c r="C15" s="22" t="s">
        <v>18</v>
      </c>
      <c r="D15" s="19"/>
      <c r="F15" s="20"/>
      <c r="G15" s="20"/>
      <c r="H15" s="20"/>
      <c r="I15" s="21"/>
    </row>
    <row r="16" spans="1:9" x14ac:dyDescent="0.3">
      <c r="A16" s="23"/>
      <c r="B16" s="23"/>
      <c r="C16" s="23"/>
      <c r="D16" s="24"/>
      <c r="F16" s="23"/>
      <c r="G16" s="23"/>
      <c r="H16" s="23"/>
      <c r="I16" s="24"/>
    </row>
    <row r="17" spans="1:9" x14ac:dyDescent="0.3">
      <c r="A17" s="6" t="s">
        <v>19</v>
      </c>
      <c r="B17" s="7"/>
      <c r="C17" s="16"/>
      <c r="D17" s="9"/>
      <c r="F17" s="23"/>
      <c r="G17" s="23"/>
      <c r="H17" s="23"/>
      <c r="I17" s="24"/>
    </row>
    <row r="18" spans="1:9" x14ac:dyDescent="0.3">
      <c r="A18" s="6" t="s">
        <v>20</v>
      </c>
      <c r="B18" s="7"/>
      <c r="C18" s="16"/>
      <c r="D18" s="25"/>
      <c r="F18" s="23"/>
      <c r="G18" s="23"/>
      <c r="H18" s="23"/>
      <c r="I18" s="24"/>
    </row>
    <row r="19" spans="1:9" x14ac:dyDescent="0.3">
      <c r="A19" s="6" t="s">
        <v>21</v>
      </c>
      <c r="B19" s="7"/>
      <c r="C19" s="16"/>
      <c r="D19" s="26"/>
      <c r="F19" s="23"/>
      <c r="G19" s="23"/>
      <c r="H19" s="23"/>
      <c r="I19" s="24"/>
    </row>
    <row r="20" spans="1:9" x14ac:dyDescent="0.3">
      <c r="A20" s="27"/>
      <c r="B20" s="23"/>
      <c r="D20" s="28"/>
      <c r="F20" s="23"/>
      <c r="G20" s="23"/>
      <c r="H20" s="23"/>
      <c r="I20" s="24"/>
    </row>
    <row r="21" spans="1:9" x14ac:dyDescent="0.3">
      <c r="A21" s="84" t="s">
        <v>22</v>
      </c>
      <c r="B21" s="85"/>
      <c r="C21" s="85"/>
      <c r="D21" s="85"/>
      <c r="E21" s="85"/>
      <c r="F21" s="85"/>
      <c r="G21" s="85"/>
      <c r="H21" s="85"/>
      <c r="I21" s="85"/>
    </row>
    <row r="22" spans="1:9" x14ac:dyDescent="0.3">
      <c r="A22" s="6" t="s">
        <v>23</v>
      </c>
      <c r="B22" s="7"/>
      <c r="C22" s="7"/>
      <c r="D22" s="29"/>
      <c r="F22" s="6" t="s">
        <v>24</v>
      </c>
      <c r="G22" s="7"/>
      <c r="H22" s="16"/>
      <c r="I22" s="30"/>
    </row>
    <row r="23" spans="1:9" x14ac:dyDescent="0.3">
      <c r="A23" s="6" t="s">
        <v>7</v>
      </c>
      <c r="B23" s="7"/>
      <c r="C23" s="8"/>
      <c r="D23" s="31"/>
      <c r="F23" s="6" t="s">
        <v>10</v>
      </c>
      <c r="G23" s="7"/>
      <c r="H23" s="16"/>
      <c r="I23" s="30"/>
    </row>
    <row r="24" spans="1:9" x14ac:dyDescent="0.3">
      <c r="A24" s="6" t="s">
        <v>9</v>
      </c>
      <c r="B24" s="7"/>
      <c r="C24" s="8"/>
      <c r="D24" s="32"/>
      <c r="F24" s="6" t="s">
        <v>12</v>
      </c>
      <c r="G24" s="7"/>
      <c r="H24" s="16"/>
      <c r="I24" s="33"/>
    </row>
    <row r="25" spans="1:9" x14ac:dyDescent="0.3">
      <c r="A25" s="6" t="s">
        <v>11</v>
      </c>
      <c r="B25" s="7"/>
      <c r="C25" s="8"/>
      <c r="D25" s="15"/>
    </row>
    <row r="26" spans="1:9" x14ac:dyDescent="0.3">
      <c r="A26" s="6" t="s">
        <v>25</v>
      </c>
      <c r="B26" s="7"/>
      <c r="C26" s="8"/>
      <c r="D26" s="25"/>
    </row>
    <row r="27" spans="1:9" x14ac:dyDescent="0.3">
      <c r="A27" s="6" t="s">
        <v>26</v>
      </c>
      <c r="B27" s="7"/>
      <c r="C27" s="8"/>
      <c r="D27" s="25"/>
    </row>
    <row r="29" spans="1:9" x14ac:dyDescent="0.3">
      <c r="A29" s="6" t="s">
        <v>27</v>
      </c>
      <c r="B29" s="7"/>
      <c r="C29" s="16"/>
      <c r="D29" s="9" t="s">
        <v>28</v>
      </c>
    </row>
    <row r="30" spans="1:9" x14ac:dyDescent="0.3">
      <c r="A30" s="6" t="s">
        <v>29</v>
      </c>
      <c r="B30" s="7"/>
      <c r="C30" s="16"/>
      <c r="D30" s="25"/>
    </row>
    <row r="31" spans="1:9" x14ac:dyDescent="0.3">
      <c r="A31" s="6" t="s">
        <v>30</v>
      </c>
      <c r="B31" s="7"/>
      <c r="C31" s="16"/>
      <c r="D31" s="26"/>
    </row>
    <row r="32" spans="1:9" x14ac:dyDescent="0.3">
      <c r="A32" s="27"/>
      <c r="B32" s="23"/>
      <c r="D32" s="28"/>
    </row>
    <row r="33" spans="1:9" x14ac:dyDescent="0.3">
      <c r="A33" s="84" t="s">
        <v>31</v>
      </c>
      <c r="B33" s="85"/>
      <c r="C33" s="85"/>
      <c r="D33" s="85"/>
      <c r="E33" s="85"/>
      <c r="F33" s="85"/>
      <c r="G33" s="85"/>
      <c r="H33" s="85"/>
      <c r="I33" s="85"/>
    </row>
    <row r="34" spans="1:9" x14ac:dyDescent="0.3">
      <c r="A34" s="6" t="s">
        <v>32</v>
      </c>
      <c r="B34" s="7"/>
      <c r="C34" s="7"/>
      <c r="D34" s="34" t="s">
        <v>33</v>
      </c>
      <c r="F34" s="23" t="s">
        <v>34</v>
      </c>
    </row>
    <row r="35" spans="1:9" x14ac:dyDescent="0.3">
      <c r="A35" s="73" t="s">
        <v>35</v>
      </c>
      <c r="B35" s="74"/>
      <c r="C35" s="74"/>
      <c r="D35" s="77"/>
      <c r="F35" s="5" t="s">
        <v>36</v>
      </c>
      <c r="I35" s="35"/>
    </row>
    <row r="36" spans="1:9" x14ac:dyDescent="0.3">
      <c r="A36" s="75"/>
      <c r="B36" s="76"/>
      <c r="C36" s="76"/>
      <c r="D36" s="77"/>
      <c r="F36" s="5" t="s">
        <v>37</v>
      </c>
      <c r="I36" s="35"/>
    </row>
    <row r="37" spans="1:9" x14ac:dyDescent="0.3">
      <c r="A37" s="7" t="s">
        <v>38</v>
      </c>
      <c r="B37" s="7"/>
      <c r="C37" s="13"/>
      <c r="D37" s="36"/>
      <c r="E37" s="37"/>
      <c r="F37" s="5" t="s">
        <v>39</v>
      </c>
      <c r="I37" s="35"/>
    </row>
    <row r="38" spans="1:9" ht="16.2" x14ac:dyDescent="0.3">
      <c r="A38" s="6" t="s">
        <v>40</v>
      </c>
      <c r="B38" s="7"/>
      <c r="C38" s="7"/>
      <c r="D38" s="38"/>
      <c r="E38" s="37"/>
      <c r="F38" s="5" t="s">
        <v>41</v>
      </c>
      <c r="I38" s="35"/>
    </row>
    <row r="39" spans="1:9" x14ac:dyDescent="0.3">
      <c r="A39" s="6" t="s">
        <v>42</v>
      </c>
      <c r="B39" s="7"/>
      <c r="C39" s="7"/>
      <c r="D39" s="39"/>
      <c r="E39" s="37"/>
      <c r="F39" s="21" t="s">
        <v>43</v>
      </c>
      <c r="H39" s="21"/>
      <c r="I39" s="35"/>
    </row>
    <row r="40" spans="1:9" x14ac:dyDescent="0.3">
      <c r="A40" s="6" t="s">
        <v>44</v>
      </c>
      <c r="B40" s="7"/>
      <c r="C40" s="7"/>
      <c r="D40" s="36"/>
      <c r="E40" s="37"/>
      <c r="F40" s="5" t="s">
        <v>45</v>
      </c>
      <c r="H40" s="21"/>
      <c r="I40" s="35"/>
    </row>
    <row r="41" spans="1:9" x14ac:dyDescent="0.3">
      <c r="A41" s="6" t="s">
        <v>46</v>
      </c>
      <c r="B41" s="13"/>
      <c r="C41" s="13"/>
      <c r="D41" s="34" t="s">
        <v>28</v>
      </c>
    </row>
    <row r="42" spans="1:9" x14ac:dyDescent="0.3">
      <c r="A42" s="6" t="s">
        <v>47</v>
      </c>
      <c r="B42" s="7"/>
      <c r="C42" s="13"/>
      <c r="D42" s="34" t="s">
        <v>28</v>
      </c>
      <c r="F42" s="23" t="s">
        <v>48</v>
      </c>
    </row>
    <row r="43" spans="1:9" x14ac:dyDescent="0.3">
      <c r="A43" s="6" t="s">
        <v>49</v>
      </c>
      <c r="B43" s="13"/>
      <c r="C43" s="13"/>
      <c r="D43" s="40"/>
      <c r="F43" s="21" t="s">
        <v>50</v>
      </c>
      <c r="I43" s="41"/>
    </row>
    <row r="44" spans="1:9" x14ac:dyDescent="0.3">
      <c r="F44" s="21" t="s">
        <v>51</v>
      </c>
      <c r="I44" s="41"/>
    </row>
    <row r="45" spans="1:9" x14ac:dyDescent="0.3">
      <c r="A45" s="6" t="s">
        <v>52</v>
      </c>
      <c r="B45" s="7"/>
      <c r="C45" s="7"/>
      <c r="D45" s="42"/>
      <c r="E45" s="21"/>
      <c r="F45" s="21" t="s">
        <v>53</v>
      </c>
      <c r="I45" s="41"/>
    </row>
    <row r="47" spans="1:9" x14ac:dyDescent="0.3">
      <c r="A47" s="43" t="s">
        <v>54</v>
      </c>
      <c r="B47" s="44"/>
      <c r="C47" s="45"/>
      <c r="D47" s="44"/>
      <c r="E47" s="44"/>
      <c r="F47" s="44"/>
    </row>
    <row r="48" spans="1:9" x14ac:dyDescent="0.3">
      <c r="A48" s="46" t="s">
        <v>55</v>
      </c>
      <c r="B48" s="47"/>
      <c r="C48" s="47"/>
      <c r="D48" s="48"/>
      <c r="E48" s="78" t="s">
        <v>56</v>
      </c>
      <c r="F48" s="79"/>
    </row>
    <row r="49" spans="1:9" x14ac:dyDescent="0.3">
      <c r="A49" s="49" t="s">
        <v>57</v>
      </c>
      <c r="D49" s="48" t="s">
        <v>58</v>
      </c>
      <c r="E49" s="80"/>
      <c r="F49" s="81"/>
      <c r="G49" s="50">
        <f>D45*0.5</f>
        <v>0</v>
      </c>
      <c r="H49" s="5">
        <f>G49*0.25</f>
        <v>0</v>
      </c>
      <c r="I49" s="5">
        <f>G49-H49</f>
        <v>0</v>
      </c>
    </row>
    <row r="50" spans="1:9" x14ac:dyDescent="0.3">
      <c r="A50" s="49" t="s">
        <v>59</v>
      </c>
      <c r="D50" s="51">
        <v>0.75</v>
      </c>
      <c r="E50" s="80"/>
      <c r="F50" s="81"/>
    </row>
    <row r="51" spans="1:9" x14ac:dyDescent="0.3">
      <c r="A51" s="49" t="s">
        <v>60</v>
      </c>
      <c r="C51" s="52"/>
      <c r="D51" s="53">
        <f>$D$45*D50</f>
        <v>0</v>
      </c>
      <c r="E51" s="80"/>
      <c r="F51" s="81"/>
    </row>
    <row r="52" spans="1:9" x14ac:dyDescent="0.3">
      <c r="A52" s="49" t="s">
        <v>61</v>
      </c>
      <c r="C52" s="52"/>
      <c r="D52" s="51">
        <v>0.5</v>
      </c>
      <c r="E52" s="80"/>
      <c r="F52" s="81"/>
    </row>
    <row r="53" spans="1:9" x14ac:dyDescent="0.3">
      <c r="A53" s="54" t="s">
        <v>62</v>
      </c>
      <c r="B53" s="55"/>
      <c r="C53" s="56"/>
      <c r="D53" s="57">
        <f>D51*D52</f>
        <v>0</v>
      </c>
      <c r="E53" s="82"/>
      <c r="F53" s="83"/>
    </row>
    <row r="55" spans="1:9" x14ac:dyDescent="0.3">
      <c r="A55" s="43" t="s">
        <v>63</v>
      </c>
      <c r="B55" s="44"/>
      <c r="C55" s="45"/>
      <c r="D55" s="44"/>
      <c r="E55" s="44"/>
      <c r="F55" s="44"/>
    </row>
    <row r="56" spans="1:9" x14ac:dyDescent="0.3">
      <c r="A56" s="46" t="s">
        <v>55</v>
      </c>
      <c r="B56" s="47"/>
      <c r="C56" s="47"/>
      <c r="D56" s="48"/>
      <c r="E56" s="78" t="s">
        <v>56</v>
      </c>
      <c r="F56" s="79"/>
    </row>
    <row r="57" spans="1:9" x14ac:dyDescent="0.3">
      <c r="A57" s="49" t="s">
        <v>57</v>
      </c>
      <c r="D57" s="48" t="s">
        <v>28</v>
      </c>
      <c r="E57" s="80"/>
      <c r="F57" s="81"/>
    </row>
    <row r="58" spans="1:9" x14ac:dyDescent="0.3">
      <c r="A58" s="49" t="s">
        <v>59</v>
      </c>
      <c r="D58" s="51">
        <v>0.25</v>
      </c>
      <c r="E58" s="80"/>
      <c r="F58" s="81"/>
    </row>
    <row r="59" spans="1:9" x14ac:dyDescent="0.3">
      <c r="A59" s="49" t="s">
        <v>60</v>
      </c>
      <c r="C59" s="52"/>
      <c r="D59" s="53">
        <f>$D$45*D58</f>
        <v>0</v>
      </c>
      <c r="E59" s="80"/>
      <c r="F59" s="81"/>
    </row>
    <row r="60" spans="1:9" x14ac:dyDescent="0.3">
      <c r="A60" s="49" t="s">
        <v>61</v>
      </c>
      <c r="C60" s="52"/>
      <c r="D60" s="51">
        <v>0.5</v>
      </c>
      <c r="E60" s="80"/>
      <c r="F60" s="81"/>
    </row>
    <row r="61" spans="1:9" x14ac:dyDescent="0.3">
      <c r="A61" s="54" t="s">
        <v>62</v>
      </c>
      <c r="B61" s="55"/>
      <c r="C61" s="56"/>
      <c r="D61" s="57">
        <f>D59*D60</f>
        <v>0</v>
      </c>
      <c r="E61" s="82"/>
      <c r="F61" s="83"/>
    </row>
    <row r="63" spans="1:9" x14ac:dyDescent="0.3">
      <c r="A63" s="43" t="s">
        <v>64</v>
      </c>
      <c r="B63" s="44"/>
      <c r="C63" s="45"/>
      <c r="D63" s="44"/>
      <c r="E63" s="44"/>
      <c r="F63" s="44"/>
    </row>
    <row r="64" spans="1:9" x14ac:dyDescent="0.3">
      <c r="A64" s="46" t="s">
        <v>55</v>
      </c>
      <c r="B64" s="47"/>
      <c r="C64" s="47"/>
      <c r="D64" s="48"/>
      <c r="E64" s="78" t="s">
        <v>56</v>
      </c>
      <c r="F64" s="79"/>
    </row>
    <row r="65" spans="1:6" x14ac:dyDescent="0.3">
      <c r="A65" s="49" t="s">
        <v>57</v>
      </c>
      <c r="D65" s="48" t="s">
        <v>28</v>
      </c>
      <c r="E65" s="80"/>
      <c r="F65" s="81"/>
    </row>
    <row r="66" spans="1:6" x14ac:dyDescent="0.3">
      <c r="A66" s="49" t="s">
        <v>59</v>
      </c>
      <c r="D66" s="51"/>
      <c r="E66" s="80"/>
      <c r="F66" s="81"/>
    </row>
    <row r="67" spans="1:6" x14ac:dyDescent="0.3">
      <c r="A67" s="49" t="s">
        <v>60</v>
      </c>
      <c r="C67" s="52"/>
      <c r="D67" s="53">
        <f>$D$45*D66</f>
        <v>0</v>
      </c>
      <c r="E67" s="80"/>
      <c r="F67" s="81"/>
    </row>
    <row r="68" spans="1:6" x14ac:dyDescent="0.3">
      <c r="A68" s="49" t="s">
        <v>61</v>
      </c>
      <c r="C68" s="52"/>
      <c r="D68" s="51"/>
      <c r="E68" s="80"/>
      <c r="F68" s="81"/>
    </row>
    <row r="69" spans="1:6" x14ac:dyDescent="0.3">
      <c r="A69" s="54" t="s">
        <v>62</v>
      </c>
      <c r="B69" s="55"/>
      <c r="C69" s="56"/>
      <c r="D69" s="57">
        <f>D67*D68</f>
        <v>0</v>
      </c>
      <c r="E69" s="82"/>
      <c r="F69" s="83"/>
    </row>
    <row r="71" spans="1:6" x14ac:dyDescent="0.3">
      <c r="A71" s="43" t="s">
        <v>65</v>
      </c>
      <c r="B71" s="44"/>
      <c r="C71" s="45"/>
      <c r="D71" s="44"/>
      <c r="E71" s="44"/>
      <c r="F71" s="44"/>
    </row>
    <row r="72" spans="1:6" x14ac:dyDescent="0.3">
      <c r="A72" s="46" t="s">
        <v>55</v>
      </c>
      <c r="B72" s="47"/>
      <c r="C72" s="47"/>
      <c r="D72" s="48"/>
      <c r="E72" s="78" t="s">
        <v>56</v>
      </c>
      <c r="F72" s="79"/>
    </row>
    <row r="73" spans="1:6" x14ac:dyDescent="0.3">
      <c r="A73" s="49" t="s">
        <v>57</v>
      </c>
      <c r="D73" s="48" t="s">
        <v>28</v>
      </c>
      <c r="E73" s="80"/>
      <c r="F73" s="81"/>
    </row>
    <row r="74" spans="1:6" x14ac:dyDescent="0.3">
      <c r="A74" s="49" t="s">
        <v>59</v>
      </c>
      <c r="D74" s="51">
        <v>0</v>
      </c>
      <c r="E74" s="80"/>
      <c r="F74" s="81"/>
    </row>
    <row r="75" spans="1:6" x14ac:dyDescent="0.3">
      <c r="A75" s="49" t="s">
        <v>60</v>
      </c>
      <c r="C75" s="52"/>
      <c r="D75" s="53">
        <f>$D$45*D74</f>
        <v>0</v>
      </c>
      <c r="E75" s="80"/>
      <c r="F75" s="81"/>
    </row>
    <row r="76" spans="1:6" x14ac:dyDescent="0.3">
      <c r="A76" s="49" t="s">
        <v>61</v>
      </c>
      <c r="C76" s="52"/>
      <c r="D76" s="51">
        <v>0</v>
      </c>
      <c r="E76" s="80"/>
      <c r="F76" s="81"/>
    </row>
    <row r="77" spans="1:6" x14ac:dyDescent="0.3">
      <c r="A77" s="54" t="s">
        <v>62</v>
      </c>
      <c r="B77" s="55"/>
      <c r="C77" s="56"/>
      <c r="D77" s="57">
        <f>D75*D76</f>
        <v>0</v>
      </c>
      <c r="E77" s="82"/>
      <c r="F77" s="83"/>
    </row>
    <row r="79" spans="1:6" x14ac:dyDescent="0.3">
      <c r="A79" s="43" t="s">
        <v>66</v>
      </c>
      <c r="B79" s="44"/>
      <c r="C79" s="45"/>
      <c r="D79" s="44"/>
    </row>
    <row r="80" spans="1:6" x14ac:dyDescent="0.3">
      <c r="A80" s="58" t="s">
        <v>67</v>
      </c>
      <c r="B80" s="13"/>
      <c r="C80" s="16"/>
      <c r="D80" s="48"/>
    </row>
    <row r="81" spans="1:9" x14ac:dyDescent="0.3">
      <c r="A81" s="58" t="s">
        <v>68</v>
      </c>
      <c r="B81" s="13"/>
      <c r="C81" s="16"/>
      <c r="D81" s="48"/>
    </row>
    <row r="82" spans="1:9" x14ac:dyDescent="0.3">
      <c r="A82" s="58" t="s">
        <v>69</v>
      </c>
      <c r="B82" s="13"/>
      <c r="C82" s="16"/>
      <c r="D82" s="51"/>
    </row>
    <row r="83" spans="1:9" x14ac:dyDescent="0.3">
      <c r="A83" s="58" t="s">
        <v>60</v>
      </c>
      <c r="B83" s="13"/>
      <c r="C83" s="16"/>
      <c r="D83" s="53">
        <f>$D$45*D82</f>
        <v>0</v>
      </c>
    </row>
    <row r="84" spans="1:9" x14ac:dyDescent="0.3">
      <c r="A84" s="54" t="s">
        <v>70</v>
      </c>
      <c r="B84" s="55"/>
      <c r="C84" s="56"/>
      <c r="D84" s="51"/>
    </row>
    <row r="86" spans="1:9" x14ac:dyDescent="0.3">
      <c r="A86" s="43" t="s">
        <v>71</v>
      </c>
      <c r="B86" s="44"/>
      <c r="C86" s="45"/>
      <c r="D86" s="44"/>
    </row>
    <row r="87" spans="1:9" x14ac:dyDescent="0.3">
      <c r="A87" s="70" t="s">
        <v>72</v>
      </c>
      <c r="B87" s="71"/>
      <c r="C87" s="72"/>
      <c r="D87" s="62">
        <f t="shared" ref="D87:D94" si="0">SUMIF($D$49,$A87,$D$51)+SUMIF($D$57,$A87,$D$59)+SUMIF($D$65,$A87,$D$67)+SUMIF($D$73,$A87,$D$75)</f>
        <v>0</v>
      </c>
      <c r="G87" s="63"/>
      <c r="H87" s="63"/>
      <c r="I87" s="63"/>
    </row>
    <row r="88" spans="1:9" x14ac:dyDescent="0.3">
      <c r="A88" s="70" t="s">
        <v>73</v>
      </c>
      <c r="B88" s="71"/>
      <c r="C88" s="72"/>
      <c r="D88" s="62">
        <f t="shared" si="0"/>
        <v>0</v>
      </c>
      <c r="G88" s="63"/>
      <c r="H88" s="63"/>
      <c r="I88" s="63"/>
    </row>
    <row r="89" spans="1:9" x14ac:dyDescent="0.3">
      <c r="A89" s="70" t="s">
        <v>74</v>
      </c>
      <c r="B89" s="71"/>
      <c r="C89" s="72"/>
      <c r="D89" s="62">
        <f t="shared" si="0"/>
        <v>0</v>
      </c>
      <c r="G89" s="63"/>
      <c r="H89" s="63"/>
      <c r="I89" s="63"/>
    </row>
    <row r="90" spans="1:9" x14ac:dyDescent="0.3">
      <c r="A90" s="70" t="s">
        <v>75</v>
      </c>
      <c r="B90" s="71"/>
      <c r="C90" s="72"/>
      <c r="D90" s="62">
        <f t="shared" si="0"/>
        <v>0</v>
      </c>
      <c r="G90" s="63"/>
      <c r="H90" s="63"/>
      <c r="I90" s="63"/>
    </row>
    <row r="91" spans="1:9" x14ac:dyDescent="0.3">
      <c r="A91" s="70" t="s">
        <v>58</v>
      </c>
      <c r="B91" s="71"/>
      <c r="C91" s="72"/>
      <c r="D91" s="62">
        <f t="shared" si="0"/>
        <v>0</v>
      </c>
      <c r="G91" s="63"/>
      <c r="H91" s="63"/>
      <c r="I91" s="63"/>
    </row>
    <row r="92" spans="1:9" x14ac:dyDescent="0.3">
      <c r="A92" s="49" t="s">
        <v>76</v>
      </c>
      <c r="B92" s="60"/>
      <c r="C92" s="61"/>
      <c r="D92" s="62">
        <f t="shared" si="0"/>
        <v>0</v>
      </c>
      <c r="G92" s="63"/>
      <c r="H92" s="63"/>
      <c r="I92" s="63"/>
    </row>
    <row r="93" spans="1:9" x14ac:dyDescent="0.3">
      <c r="A93" s="49" t="s">
        <v>77</v>
      </c>
      <c r="B93" s="60"/>
      <c r="C93" s="61"/>
      <c r="D93" s="62">
        <f t="shared" si="0"/>
        <v>0</v>
      </c>
      <c r="G93" s="63"/>
      <c r="H93" s="63"/>
      <c r="I93" s="63"/>
    </row>
    <row r="94" spans="1:9" x14ac:dyDescent="0.3">
      <c r="A94" s="70" t="s">
        <v>78</v>
      </c>
      <c r="B94" s="71"/>
      <c r="C94" s="72"/>
      <c r="D94" s="62">
        <f t="shared" si="0"/>
        <v>0</v>
      </c>
      <c r="G94" s="63"/>
      <c r="H94" s="63"/>
      <c r="I94" s="63"/>
    </row>
    <row r="95" spans="1:9" x14ac:dyDescent="0.3">
      <c r="A95" s="59" t="s">
        <v>79</v>
      </c>
      <c r="B95" s="60"/>
      <c r="C95" s="61"/>
      <c r="D95" s="62">
        <f>D83</f>
        <v>0</v>
      </c>
    </row>
    <row r="96" spans="1:9" x14ac:dyDescent="0.3">
      <c r="A96" s="64" t="s">
        <v>80</v>
      </c>
      <c r="B96" s="65"/>
      <c r="C96" s="66"/>
      <c r="D96" s="67">
        <f>SUM(D87:D95)</f>
        <v>0</v>
      </c>
    </row>
    <row r="97" spans="1:5" x14ac:dyDescent="0.3">
      <c r="A97" s="11" t="s">
        <v>81</v>
      </c>
      <c r="B97" s="23"/>
      <c r="C97" s="23"/>
      <c r="D97" s="68">
        <f>D96-D45</f>
        <v>0</v>
      </c>
    </row>
    <row r="98" spans="1:5" x14ac:dyDescent="0.3">
      <c r="E98" s="69"/>
    </row>
    <row r="99" spans="1:5" x14ac:dyDescent="0.3">
      <c r="E99" s="69"/>
    </row>
    <row r="100" spans="1:5" x14ac:dyDescent="0.3">
      <c r="E100" s="69"/>
    </row>
  </sheetData>
  <mergeCells count="18">
    <mergeCell ref="A33:I33"/>
    <mergeCell ref="A7:I7"/>
    <mergeCell ref="A12:B15"/>
    <mergeCell ref="F12:H13"/>
    <mergeCell ref="I12:I13"/>
    <mergeCell ref="A21:I21"/>
    <mergeCell ref="A94:C94"/>
    <mergeCell ref="A35:C36"/>
    <mergeCell ref="D35:D36"/>
    <mergeCell ref="E48:F53"/>
    <mergeCell ref="E56:F61"/>
    <mergeCell ref="E64:F69"/>
    <mergeCell ref="E72:F77"/>
    <mergeCell ref="A87:C87"/>
    <mergeCell ref="A88:C88"/>
    <mergeCell ref="A89:C89"/>
    <mergeCell ref="A90:C90"/>
    <mergeCell ref="A91:C91"/>
  </mergeCells>
  <conditionalFormatting sqref="C45">
    <cfRule type="cellIs" dxfId="5" priority="5" operator="equal">
      <formula>0</formula>
    </cfRule>
    <cfRule type="cellIs" dxfId="4" priority="6" operator="notEqual">
      <formula>1</formula>
    </cfRule>
  </conditionalFormatting>
  <conditionalFormatting sqref="C97">
    <cfRule type="cellIs" dxfId="3" priority="3" operator="equal">
      <formula>0</formula>
    </cfRule>
    <cfRule type="cellIs" dxfId="2" priority="4" operator="notEqual">
      <formula>1</formula>
    </cfRule>
  </conditionalFormatting>
  <conditionalFormatting sqref="D97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2026-02-12T12:57:49Z</dcterms:created>
  <dcterms:modified xsi:type="dcterms:W3CDTF">2026-02-12T17:33:23Z</dcterms:modified>
</cp:coreProperties>
</file>